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mohad\OneDrive\Desktop\Data Analysis SRCS\"/>
    </mc:Choice>
  </mc:AlternateContent>
  <xr:revisionPtr revIDLastSave="0" documentId="13_ncr:1_{1E523059-7171-40D2-B1BD-7617FC7A2B64}" xr6:coauthVersionLast="47" xr6:coauthVersionMax="47" xr10:uidLastSave="{00000000-0000-0000-0000-000000000000}"/>
  <bookViews>
    <workbookView xWindow="-110" yWindow="-110" windowWidth="19420" windowHeight="10300" xr2:uid="{E701A193-2CA9-4BC1-92B4-EAE502BE5C8B}"/>
  </bookViews>
  <sheets>
    <sheet name="Summarize" sheetId="1" r:id="rId1"/>
    <sheet name="Visualization" sheetId="2" r:id="rId2"/>
    <sheet name="Dashboard" sheetId="3" r:id="rId3"/>
  </sheets>
  <definedNames>
    <definedName name="Slicer_Attendance">#N/A</definedName>
    <definedName name="Slicer_gender">#N/A</definedName>
    <definedName name="Slicer_Social_Media">#N/A</definedName>
    <definedName name="Slicer_Study_Hour">#N/A</definedName>
  </definedNames>
  <calcPr calcId="191029" iterateDelta="1E-4"/>
  <pivotCaches>
    <pivotCache cacheId="1055" r:id="rId4"/>
    <pivotCache cacheId="1058" r:id="rId5"/>
    <pivotCache cacheId="1061" r:id="rId6"/>
    <pivotCache cacheId="1064" r:id="rId7"/>
    <pivotCache cacheId="1067" r:id="rId8"/>
    <pivotCache cacheId="1070" r:id="rId9"/>
    <pivotCache cacheId="1073" r:id="rId10"/>
    <pivotCache cacheId="1076" r:id="rId11"/>
    <pivotCache cacheId="1079" r:id="rId12"/>
    <pivotCache cacheId="1082" r:id="rId13"/>
    <pivotCache cacheId="1085" r:id="rId14"/>
    <pivotCache cacheId="1088" r:id="rId15"/>
  </pivotCaches>
  <extLst>
    <ext xmlns:x14="http://schemas.microsoft.com/office/spreadsheetml/2009/9/main" uri="{876F7934-8845-4945-9796-88D515C7AA90}">
      <x14:pivotCaches>
        <pivotCache cacheId="1054"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udent_habits_performance_c7f55f3a-3d57-4794-b097-aacf49af400b" name="student_habits_performance" connection="Query - student_habits_performanc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7" i="3" l="1"/>
  <c r="J7" i="3"/>
  <c r="D7" i="3"/>
  <c r="A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EE6781-1CC4-496C-9A0A-F0C4C56103A7}" name="Query - student_habits_performance" description="Connection to the 'student_habits_performance' query in the workbook." type="100" refreshedVersion="8" minRefreshableVersion="5">
    <extLst>
      <ext xmlns:x15="http://schemas.microsoft.com/office/spreadsheetml/2010/11/main" uri="{DE250136-89BD-433C-8126-D09CA5730AF9}">
        <x15:connection id="f0d6e4f1-beb9-4c51-9069-7c9dc9b99ba3"/>
      </ext>
    </extLst>
  </connection>
  <connection id="2" xr16:uid="{26219411-2BCE-44C4-B59C-510F58A960E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<sst xmlns="http://schemas.openxmlformats.org/spreadsheetml/2006/main" count="83" uniqueCount="35">
  <si>
    <t>Female</t>
  </si>
  <si>
    <t>Male</t>
  </si>
  <si>
    <t>Other</t>
  </si>
  <si>
    <t>Grand Total</t>
  </si>
  <si>
    <t>Gender</t>
  </si>
  <si>
    <t>Avg Exam Score</t>
  </si>
  <si>
    <t>Student</t>
  </si>
  <si>
    <t>Student Habits &amp; Performance — Summary Pivot Tables</t>
  </si>
  <si>
    <t>Table 1 · Gender vs Avg Exam Score</t>
  </si>
  <si>
    <t>0-2hrs</t>
  </si>
  <si>
    <t>5-6hrs</t>
  </si>
  <si>
    <t>7-8hrs</t>
  </si>
  <si>
    <t>Table 2 · Study Hours vs Avg Exam Score</t>
  </si>
  <si>
    <t>Study Hour</t>
  </si>
  <si>
    <t>0-1hrs</t>
  </si>
  <si>
    <t>1-2hrs</t>
  </si>
  <si>
    <t>2-3hrs</t>
  </si>
  <si>
    <t>3-4hrs</t>
  </si>
  <si>
    <t>4+hrs</t>
  </si>
  <si>
    <t>Social Hour</t>
  </si>
  <si>
    <t>Table 3 · Social Hours vs Avg Exam Score</t>
  </si>
  <si>
    <t>0-60%</t>
  </si>
  <si>
    <t>61-70%</t>
  </si>
  <si>
    <t>71-80%</t>
  </si>
  <si>
    <t>81-90%</t>
  </si>
  <si>
    <t>91-100%</t>
  </si>
  <si>
    <t>Attendance</t>
  </si>
  <si>
    <t>Table 4 · Attendance vs Avg Exam Score</t>
  </si>
  <si>
    <t>Student Habits &amp; Performance — Visualization by Charts</t>
  </si>
  <si>
    <t xml:space="preserve">  STUDENT HABITS &amp; PERFORMANCE  |  Analytics Dashboard</t>
  </si>
  <si>
    <t>Academic Performance Analytics  •  1,000 Students  •  Focus: Average Exam Score  •  Study Habits | Social Media | Attendance</t>
  </si>
  <si>
    <t>Total Students</t>
  </si>
  <si>
    <t>Avg Study Hrs/Day</t>
  </si>
  <si>
    <t>Avg Attendance Rate</t>
  </si>
  <si>
    <t xml:space="preserve">  ▸  PERFORMANCE ANALYSIS BY STUDENT HABITS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</si>
</sst>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9" formatCode="0.0"/>
  </numFmts>
  <fonts count="8" x14ac:knownFonts="1">
    <font>
      <sz val="11"/>
      <color theme="1"/>
      <name val="Aptos Narrow"/>
      <family val="2"/>
      <scheme val="minor"/>
    </font>
    <font>
      <sz val="11"/>
      <color theme="0"/>
      <name val="Aptos Narrow"/>
      <family val="2"/>
      <scheme val="minor"/>
    </font>
    <font>
      <sz val="18"/>
      <color theme="0"/>
      <name val="Aptos Narrow"/>
      <family val="2"/>
      <scheme val="minor"/>
    </font>
    <font>
      <sz val="12"/>
      <color theme="1"/>
      <name val="Aptos Narrow"/>
      <family val="2"/>
      <scheme val="minor"/>
    </font>
    <font>
      <sz val="22"/>
      <color theme="0"/>
      <name val="Aptos Narrow"/>
      <family val="2"/>
      <scheme val="minor"/>
    </font>
    <font>
      <sz val="20"/>
      <color theme="0"/>
      <name val="Aptos Narrow"/>
      <family val="2"/>
      <scheme val="minor"/>
    </font>
    <font>
      <sz val="11"/>
      <name val="Aptos Narrow"/>
      <family val="2"/>
      <scheme val="minor"/>
    </font>
    <font>
      <sz val="14"/>
      <color theme="1"/>
      <name val="Aptos Narrow"/>
      <family val="2"/>
      <scheme val="minor"/>
    </font>
  </fonts>
  <fills count="11">
    <fill>
      <patternFill patternType="none"/>
    </fill>
    <fill>
      <patternFill patternType="gray125"/>
    </fill>
    <fill>
      <patternFill patternType="solid">
        <fgColor rgb="FF1B365D"/>
        <bgColor indexed="64"/>
      </patternFill>
    </fill>
    <fill>
      <patternFill patternType="solid">
        <fgColor rgb="FF00B050"/>
        <bgColor indexed="64"/>
      </patternFill>
    </fill>
    <fill>
      <patternFill patternType="solid">
        <fgColor rgb="FFE0F2F1"/>
        <bgColor indexed="64"/>
      </patternFill>
    </fill>
    <fill>
      <patternFill patternType="solid">
        <fgColor rgb="FFF3F35F"/>
        <bgColor indexed="64"/>
      </patternFill>
    </fill>
    <fill>
      <patternFill patternType="solid">
        <fgColor rgb="FFFF5B5B"/>
        <bgColor indexed="64"/>
      </patternFill>
    </fill>
    <fill>
      <patternFill patternType="solid">
        <fgColor rgb="FF00D05E"/>
        <bgColor indexed="64"/>
      </patternFill>
    </fill>
    <fill>
      <patternFill patternType="solid">
        <fgColor rgb="FF92D050"/>
        <bgColor indexed="64"/>
      </patternFill>
    </fill>
    <fill>
      <patternFill patternType="solid">
        <fgColor rgb="FFEF9275"/>
        <bgColor indexed="64"/>
      </patternFill>
    </fill>
    <fill>
      <patternFill patternType="solid">
        <fgColor theme="0"/>
        <bgColor indexed="64"/>
      </patternFill>
    </fill>
  </fills>
  <borders count="1">
    <border>
      <left/>
      <right/>
      <top/>
      <bottom/>
      <diagonal/>
    </border>
  </borders>
  <cellStyleXfs count="1">
    <xf numFmtId="0" fontId="0" fillId="0" borderId="0"/>
  </cellStyleXfs>
  <cellXfs count="42">
    <xf numFmtId="0" fontId="0" fillId="0" borderId="0" xfId="0"/>
    <xf numFmtId="0" fontId="0" fillId="0" borderId="0" xfId="0" applyAlignment="1">
      <alignment horizontal="center"/>
    </xf>
    <xf numFmtId="0" fontId="0" fillId="0" borderId="0" xfId="0" applyAlignment="1">
      <alignment horizontal="left"/>
    </xf>
    <xf numFmtId="169" fontId="0" fillId="0" borderId="0" xfId="0" applyNumberFormat="1"/>
    <xf numFmtId="1" fontId="0" fillId="0" borderId="0" xfId="0" applyNumberFormat="1"/>
    <xf numFmtId="0" fontId="0" fillId="0" borderId="0" xfId="0" applyAlignment="1">
      <alignment horizontal="center"/>
    </xf>
    <xf numFmtId="0" fontId="0" fillId="0" borderId="0" xfId="0" applyFill="1" applyAlignment="1">
      <alignment horizontal="left"/>
    </xf>
    <xf numFmtId="0" fontId="0" fillId="0" borderId="0" xfId="0" applyFill="1"/>
    <xf numFmtId="0" fontId="2" fillId="0" borderId="0" xfId="0" applyFont="1" applyFill="1" applyAlignment="1">
      <alignment horizontal="center" vertical="center"/>
    </xf>
    <xf numFmtId="0" fontId="0" fillId="4" borderId="0" xfId="0" applyFill="1" applyAlignment="1">
      <alignment horizontal="center"/>
    </xf>
    <xf numFmtId="0" fontId="3" fillId="4" borderId="0" xfId="0" applyFont="1" applyFill="1" applyAlignment="1">
      <alignment horizontal="center"/>
    </xf>
    <xf numFmtId="169" fontId="0" fillId="5" borderId="0" xfId="0" applyNumberFormat="1" applyFont="1" applyFill="1" applyAlignment="1">
      <alignment horizontal="center"/>
    </xf>
    <xf numFmtId="169" fontId="0" fillId="6" borderId="0" xfId="0" applyNumberFormat="1" applyFont="1" applyFill="1" applyAlignment="1">
      <alignment horizontal="center"/>
    </xf>
    <xf numFmtId="169" fontId="0" fillId="7" borderId="0" xfId="0" applyNumberFormat="1" applyFont="1" applyFill="1" applyAlignment="1">
      <alignment horizontal="center"/>
    </xf>
    <xf numFmtId="169" fontId="0" fillId="6" borderId="0" xfId="0" applyNumberFormat="1" applyFill="1" applyAlignment="1">
      <alignment horizontal="center"/>
    </xf>
    <xf numFmtId="169" fontId="0" fillId="5" borderId="0" xfId="0" applyNumberFormat="1" applyFill="1" applyAlignment="1">
      <alignment horizontal="center"/>
    </xf>
    <xf numFmtId="169" fontId="0" fillId="8" borderId="0" xfId="0" applyNumberFormat="1" applyFill="1" applyAlignment="1">
      <alignment horizontal="center"/>
    </xf>
    <xf numFmtId="169" fontId="0" fillId="7" borderId="0" xfId="0" applyNumberFormat="1" applyFill="1" applyAlignment="1">
      <alignment horizontal="center"/>
    </xf>
    <xf numFmtId="0" fontId="0" fillId="0" borderId="0" xfId="0" pivotButton="1" applyAlignment="1">
      <alignment horizontal="center"/>
    </xf>
    <xf numFmtId="0" fontId="0" fillId="4" borderId="0" xfId="0" applyFill="1" applyAlignment="1">
      <alignment horizontal="center"/>
    </xf>
    <xf numFmtId="0" fontId="0" fillId="0" borderId="0" xfId="0" applyFill="1" applyAlignment="1">
      <alignment horizontal="center"/>
    </xf>
    <xf numFmtId="1" fontId="0" fillId="0" borderId="0" xfId="0" applyNumberFormat="1" applyFill="1" applyAlignment="1">
      <alignment horizontal="center"/>
    </xf>
    <xf numFmtId="0" fontId="0" fillId="0" borderId="0" xfId="0" applyNumberFormat="1" applyAlignment="1">
      <alignment horizontal="center"/>
    </xf>
    <xf numFmtId="169" fontId="0" fillId="0" borderId="0" xfId="0" applyNumberFormat="1" applyAlignment="1">
      <alignment horizontal="center"/>
    </xf>
    <xf numFmtId="169" fontId="0" fillId="9" borderId="0" xfId="0" applyNumberFormat="1" applyFill="1" applyAlignment="1">
      <alignment horizontal="center"/>
    </xf>
    <xf numFmtId="169" fontId="0" fillId="3" borderId="0" xfId="0" applyNumberFormat="1" applyFill="1" applyAlignment="1">
      <alignment horizontal="center"/>
    </xf>
    <xf numFmtId="1" fontId="0" fillId="0" borderId="0" xfId="0" applyNumberFormat="1" applyAlignment="1">
      <alignment horizontal="center"/>
    </xf>
    <xf numFmtId="0" fontId="3" fillId="4" borderId="0" xfId="0" applyFont="1" applyFill="1" applyAlignment="1">
      <alignment horizontal="center"/>
    </xf>
    <xf numFmtId="0" fontId="0" fillId="0" borderId="0" xfId="0" applyAlignment="1"/>
    <xf numFmtId="0" fontId="6" fillId="7" borderId="0" xfId="0" applyFont="1" applyFill="1" applyAlignment="1">
      <alignment horizontal="center"/>
    </xf>
    <xf numFmtId="0" fontId="3" fillId="0" borderId="0" xfId="0" applyFont="1" applyFill="1" applyAlignment="1">
      <alignment horizontal="center"/>
    </xf>
    <xf numFmtId="0" fontId="7" fillId="4" borderId="0" xfId="0" applyFont="1" applyFill="1" applyAlignment="1"/>
    <xf numFmtId="0" fontId="0" fillId="10" borderId="0" xfId="0" applyFill="1" applyAlignment="1"/>
    <xf numFmtId="0" fontId="7" fillId="4" borderId="0" xfId="0" applyFont="1" applyFill="1" applyAlignment="1">
      <alignment horizontal="center"/>
    </xf>
    <xf numFmtId="169" fontId="0" fillId="4" borderId="0" xfId="0" applyNumberFormat="1" applyFill="1" applyAlignment="1">
      <alignment horizontal="center" vertical="center"/>
    </xf>
    <xf numFmtId="0" fontId="1" fillId="2" borderId="0" xfId="0" applyFont="1" applyFill="1" applyAlignment="1">
      <alignment horizontal="left"/>
    </xf>
    <xf numFmtId="0" fontId="0" fillId="0" borderId="0" xfId="0" applyFill="1" applyAlignment="1">
      <alignment horizontal="center"/>
    </xf>
    <xf numFmtId="0" fontId="0" fillId="2" borderId="0" xfId="0" applyFill="1" applyAlignment="1"/>
    <xf numFmtId="0" fontId="0" fillId="4" borderId="0" xfId="0" applyFill="1" applyAlignment="1">
      <alignment horizontal="center" vertical="center"/>
    </xf>
    <xf numFmtId="0" fontId="5" fillId="2" borderId="0" xfId="0" applyFont="1" applyFill="1" applyAlignment="1">
      <alignment horizontal="left" vertical="center"/>
    </xf>
    <xf numFmtId="0" fontId="2" fillId="2" borderId="0" xfId="0" applyFont="1" applyFill="1" applyAlignment="1">
      <alignment horizontal="left" vertical="center"/>
    </xf>
    <xf numFmtId="0" fontId="4" fillId="2" borderId="0" xfId="0" applyFont="1" applyFill="1" applyAlignment="1">
      <alignment horizontal="left" vertical="center"/>
    </xf>
  </cellXfs>
  <cellStyles count="1">
    <cellStyle name="Normal" xfId="0" builtinId="0"/>
  </cellStyles>
  <dxfs count="282">
    <dxf>
      <fill>
        <patternFill>
          <bgColor rgb="FFF3F35F"/>
        </patternFill>
      </fill>
    </dxf>
    <dxf>
      <fill>
        <patternFill patternType="solid">
          <bgColor rgb="FF92D050"/>
        </patternFill>
      </fill>
    </dxf>
    <dxf>
      <alignment horizontal="center"/>
    </dxf>
    <dxf>
      <numFmt numFmtId="169" formatCode="0.0"/>
    </dxf>
    <dxf>
      <numFmt numFmtId="1" formatCode="0"/>
    </dxf>
    <dxf>
      <numFmt numFmtId="169" formatCode="0.0"/>
    </dxf>
    <dxf>
      <numFmt numFmtId="169" formatCode="0.0"/>
    </dxf>
    <dxf>
      <numFmt numFmtId="169" formatCode="0.0"/>
    </dxf>
    <dxf>
      <numFmt numFmtId="169" formatCode="0.0"/>
    </dxf>
    <dxf>
      <fill>
        <patternFill patternType="solid">
          <bgColor rgb="FF00B050"/>
        </patternFill>
      </fill>
    </dxf>
    <dxf>
      <fill>
        <patternFill>
          <bgColor rgb="FF00B050"/>
        </patternFill>
      </fill>
    </dxf>
    <dxf>
      <fill>
        <patternFill patternType="solid">
          <bgColor rgb="FFFFC000"/>
        </patternFill>
      </fill>
    </dxf>
    <dxf>
      <fill>
        <patternFill patternType="solid">
          <bgColor rgb="FFC00000"/>
        </patternFill>
      </fill>
    </dxf>
    <dxf>
      <fill>
        <patternFill patternType="none">
          <bgColor auto="1"/>
        </patternFill>
      </fill>
    </dxf>
    <dxf>
      <fill>
        <patternFill patternType="none">
          <bgColor auto="1"/>
        </patternFill>
      </fill>
    </dxf>
    <dxf>
      <fill>
        <patternFill patternType="none">
          <bgColor auto="1"/>
        </patternFill>
      </fill>
    </dxf>
    <dxf>
      <font>
        <color theme="1"/>
      </font>
    </dxf>
    <dxf>
      <fill>
        <patternFill>
          <bgColor rgb="FFF3F35F"/>
        </patternFill>
      </fill>
    </dxf>
    <dxf>
      <fill>
        <patternFill>
          <bgColor rgb="FFFF5B5B"/>
        </patternFill>
      </fill>
    </dxf>
    <dxf>
      <fill>
        <patternFill>
          <bgColor rgb="FF00D05E"/>
        </patternFill>
      </fill>
    </dxf>
    <dxf>
      <alignment horizontal="center"/>
    </dxf>
    <dxf>
      <alignment horizontal="center"/>
    </dxf>
    <dxf>
      <alignment horizontal="center"/>
    </dxf>
    <dxf>
      <alignment horizontal="center"/>
    </dxf>
    <dxf>
      <numFmt numFmtId="169" formatCode="0.0"/>
    </dxf>
    <dxf>
      <numFmt numFmtId="169" formatCode="0.0"/>
    </dxf>
    <dxf>
      <fill>
        <patternFill patternType="solid">
          <bgColor rgb="FFFF5B5B"/>
        </patternFill>
      </fill>
    </dxf>
    <dxf>
      <fill>
        <patternFill patternType="solid">
          <bgColor rgb="FFF3F35F"/>
        </patternFill>
      </fill>
    </dxf>
    <dxf>
      <fill>
        <patternFill patternType="solid">
          <bgColor rgb="FF92D050"/>
        </patternFill>
      </fill>
    </dxf>
    <dxf>
      <fill>
        <patternFill patternType="solid">
          <bgColor rgb="FF00D05E"/>
        </patternFill>
      </fill>
    </dxf>
    <dxf>
      <alignment horizontal="center"/>
    </dxf>
    <dxf>
      <alignment horizontal="center"/>
    </dxf>
    <dxf>
      <alignment horizontal="center"/>
    </dxf>
    <dxf>
      <alignment horizontal="center"/>
    </dxf>
    <dxf>
      <numFmt numFmtId="169" formatCode="0.0"/>
    </dxf>
    <dxf>
      <numFmt numFmtId="169" formatCode="0.0"/>
    </dxf>
    <dxf>
      <alignment horizontal="center"/>
    </dxf>
    <dxf>
      <alignment horizontal="center"/>
    </dxf>
    <dxf>
      <fill>
        <patternFill patternType="solid">
          <bgColor rgb="FF00B050"/>
        </patternFill>
      </fill>
    </dxf>
    <dxf>
      <fill>
        <patternFill patternType="solid">
          <bgColor rgb="FFFF5B5B"/>
        </patternFill>
      </fill>
    </dxf>
    <dxf>
      <fill>
        <patternFill patternType="solid">
          <bgColor rgb="FFF3F35F"/>
        </patternFill>
      </fill>
    </dxf>
    <dxf>
      <fill>
        <patternFill patternType="solid">
          <bgColor rgb="FF92D050"/>
        </patternFill>
      </fill>
    </dxf>
    <dxf>
      <fill>
        <patternFill patternType="solid">
          <bgColor rgb="FFEF9275"/>
        </patternFill>
      </fill>
    </dxf>
    <dxf>
      <alignment horizontal="center"/>
    </dxf>
    <dxf>
      <alignment horizontal="center"/>
    </dxf>
    <dxf>
      <alignment horizontal="center"/>
    </dxf>
    <dxf>
      <alignment horizontal="center"/>
    </dxf>
    <dxf>
      <alignment horizontal="center"/>
    </dxf>
    <dxf>
      <alignment horizontal="center"/>
    </dxf>
    <dxf>
      <numFmt numFmtId="169" formatCode="0.0"/>
    </dxf>
    <dxf>
      <numFmt numFmtId="169"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9" formatCode="0.0"/>
    </dxf>
    <dxf>
      <numFmt numFmtId="169" formatCode="0.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9" formatCode="0.0"/>
    </dxf>
    <dxf>
      <numFmt numFmtId="169" formatCode="0.0"/>
    </dxf>
    <dxf>
      <numFmt numFmtId="1" formatCode="0"/>
    </dxf>
    <dxf>
      <alignment horizontal="center"/>
    </dxf>
    <dxf>
      <alignment horizontal="center"/>
    </dxf>
    <dxf>
      <alignment horizontal="center"/>
    </dxf>
    <dxf>
      <fill>
        <patternFill patternType="solid">
          <bgColor rgb="FF00B050"/>
        </patternFill>
      </fill>
    </dxf>
    <dxf>
      <fill>
        <patternFill patternType="solid">
          <bgColor rgb="FFFF5B5B"/>
        </patternFill>
      </fill>
    </dxf>
    <dxf>
      <fill>
        <patternFill patternType="solid">
          <bgColor rgb="FFF3F35F"/>
        </patternFill>
      </fill>
    </dxf>
    <dxf>
      <fill>
        <patternFill patternType="solid">
          <bgColor rgb="FF92D050"/>
        </patternFill>
      </fill>
    </dxf>
    <dxf>
      <fill>
        <patternFill patternType="solid">
          <bgColor rgb="FFEF9275"/>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9" formatCode="0.0"/>
    </dxf>
    <dxf>
      <numFmt numFmtId="169" formatCode="0.0"/>
    </dxf>
    <dxf>
      <numFmt numFmtId="1" formatCode="0"/>
    </dxf>
    <dxf>
      <fill>
        <patternFill patternType="solid">
          <bgColor rgb="FFFF5B5B"/>
        </patternFill>
      </fill>
    </dxf>
    <dxf>
      <fill>
        <patternFill patternType="solid">
          <bgColor rgb="FFF3F35F"/>
        </patternFill>
      </fill>
    </dxf>
    <dxf>
      <fill>
        <patternFill patternType="solid">
          <bgColor rgb="FF92D050"/>
        </patternFill>
      </fill>
    </dxf>
    <dxf>
      <fill>
        <patternFill patternType="solid">
          <bgColor rgb="FF00D05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9" formatCode="0.0"/>
    </dxf>
    <dxf>
      <numFmt numFmtId="169" formatCode="0.0"/>
    </dxf>
    <dxf>
      <numFmt numFmtId="169" formatCode="0.0"/>
    </dxf>
    <dxf>
      <numFmt numFmtId="169" formatCode="0.0"/>
    </dxf>
    <dxf>
      <numFmt numFmtId="169" formatCode="0.0"/>
    </dxf>
    <dxf>
      <numFmt numFmtId="169" formatCode="0.0"/>
    </dxf>
    <dxf>
      <numFmt numFmtId="169" formatCode="0.0"/>
    </dxf>
    <dxf>
      <fill>
        <patternFill patternType="solid">
          <bgColor rgb="FF00B050"/>
        </patternFill>
      </fill>
    </dxf>
    <dxf>
      <fill>
        <patternFill>
          <bgColor rgb="FF00B050"/>
        </patternFill>
      </fill>
    </dxf>
    <dxf>
      <fill>
        <patternFill patternType="solid">
          <bgColor rgb="FFFFC000"/>
        </patternFill>
      </fill>
    </dxf>
    <dxf>
      <fill>
        <patternFill patternType="solid">
          <bgColor rgb="FFC00000"/>
        </patternFill>
      </fill>
    </dxf>
    <dxf>
      <fill>
        <patternFill patternType="none">
          <bgColor auto="1"/>
        </patternFill>
      </fill>
    </dxf>
    <dxf>
      <fill>
        <patternFill patternType="none">
          <bgColor auto="1"/>
        </patternFill>
      </fill>
    </dxf>
    <dxf>
      <fill>
        <patternFill patternType="none">
          <bgColor auto="1"/>
        </patternFill>
      </fill>
    </dxf>
    <dxf>
      <font>
        <color theme="1"/>
      </font>
    </dxf>
    <dxf>
      <fill>
        <patternFill>
          <bgColor rgb="FFF3F35F"/>
        </patternFill>
      </fill>
    </dxf>
    <dxf>
      <fill>
        <patternFill>
          <bgColor rgb="FFFF5B5B"/>
        </patternFill>
      </fill>
    </dxf>
    <dxf>
      <fill>
        <patternFill>
          <bgColor rgb="FF00D05E"/>
        </patternFill>
      </fill>
    </dxf>
    <dxf>
      <alignment horizontal="center"/>
    </dxf>
    <dxf>
      <alignment horizontal="center"/>
    </dxf>
    <dxf>
      <alignment horizontal="center"/>
    </dxf>
    <dxf>
      <alignment horizontal="center"/>
    </dxf>
    <dxf>
      <alignment horizontal="center"/>
    </dxf>
    <dxf>
      <alignment horizontal="center"/>
    </dxf>
    <dxf>
      <fill>
        <patternFill patternType="none">
          <bgColor auto="1"/>
        </patternFill>
      </fill>
    </dxf>
    <dxf>
      <numFmt numFmtId="1" formatCode="0"/>
    </dxf>
    <dxf>
      <font>
        <color theme="0"/>
      </font>
    </dxf>
    <dxf>
      <fill>
        <patternFill>
          <bgColor rgb="FF1B365D"/>
        </patternFill>
      </fill>
    </dxf>
    <dxf>
      <numFmt numFmtId="169" formatCode="0.0"/>
    </dxf>
    <dxf>
      <numFmt numFmtId="1" formatCode="0"/>
    </dxf>
    <dxf>
      <numFmt numFmtId="169" formatCode="0.0"/>
    </dxf>
    <dxf>
      <numFmt numFmtId="169" formatCode="0.0"/>
    </dxf>
    <dxf>
      <numFmt numFmtId="169" formatCode="0.0"/>
    </dxf>
    <dxf>
      <numFmt numFmtId="169" formatCode="0.0"/>
    </dxf>
    <dxf>
      <numFmt numFmtId="169" formatCode="0.0"/>
    </dxf>
    <dxf>
      <numFmt numFmtId="169" formatCode="0.0"/>
    </dxf>
    <dxf>
      <numFmt numFmtId="169" formatCode="0.0"/>
    </dxf>
    <dxf>
      <fill>
        <patternFill patternType="solid">
          <bgColor rgb="FF00B050"/>
        </patternFill>
      </fill>
    </dxf>
    <dxf>
      <fill>
        <patternFill>
          <bgColor rgb="FF00B050"/>
        </patternFill>
      </fill>
    </dxf>
    <dxf>
      <fill>
        <patternFill patternType="solid">
          <bgColor rgb="FFFFC000"/>
        </patternFill>
      </fill>
    </dxf>
    <dxf>
      <fill>
        <patternFill patternType="solid">
          <bgColor rgb="FFC00000"/>
        </patternFill>
      </fill>
    </dxf>
    <dxf>
      <fill>
        <patternFill patternType="none">
          <bgColor auto="1"/>
        </patternFill>
      </fill>
    </dxf>
    <dxf>
      <fill>
        <patternFill patternType="none">
          <bgColor auto="1"/>
        </patternFill>
      </fill>
    </dxf>
    <dxf>
      <fill>
        <patternFill patternType="none">
          <bgColor auto="1"/>
        </patternFill>
      </fill>
    </dxf>
    <dxf>
      <font>
        <color theme="1"/>
      </font>
    </dxf>
    <dxf>
      <fill>
        <patternFill>
          <bgColor rgb="FFF3F35F"/>
        </patternFill>
      </fill>
    </dxf>
    <dxf>
      <fill>
        <patternFill>
          <bgColor rgb="FFFF5B5B"/>
        </patternFill>
      </fill>
    </dxf>
    <dxf>
      <fill>
        <patternFill>
          <bgColor rgb="FF00D05E"/>
        </patternFill>
      </fill>
    </dxf>
    <dxf>
      <alignment horizontal="center"/>
    </dxf>
    <dxf>
      <alignment horizontal="center"/>
    </dxf>
    <dxf>
      <alignment horizontal="center"/>
    </dxf>
    <dxf>
      <alignment horizontal="center"/>
    </dxf>
    <dxf>
      <numFmt numFmtId="169" formatCode="0.0"/>
    </dxf>
    <dxf>
      <numFmt numFmtId="169" formatCode="0.0"/>
    </dxf>
    <dxf>
      <fill>
        <patternFill patternType="solid">
          <bgColor rgb="FFFF5B5B"/>
        </patternFill>
      </fill>
    </dxf>
    <dxf>
      <fill>
        <patternFill patternType="solid">
          <bgColor rgb="FF92D050"/>
        </patternFill>
      </fill>
    </dxf>
    <dxf>
      <fill>
        <patternFill patternType="solid">
          <bgColor rgb="FF00D05E"/>
        </patternFill>
      </fill>
    </dxf>
    <dxf>
      <alignment horizontal="center"/>
    </dxf>
    <dxf>
      <alignment horizontal="center"/>
    </dxf>
    <dxf>
      <alignment horizontal="center"/>
    </dxf>
    <dxf>
      <alignment horizontal="center"/>
    </dxf>
    <dxf>
      <numFmt numFmtId="169" formatCode="0.0"/>
    </dxf>
    <dxf>
      <numFmt numFmtId="169" formatCode="0.0"/>
    </dxf>
    <dxf>
      <alignment horizontal="center"/>
    </dxf>
    <dxf>
      <alignment horizontal="center"/>
    </dxf>
    <dxf>
      <fill>
        <patternFill patternType="solid">
          <bgColor rgb="FF00B050"/>
        </patternFill>
      </fill>
    </dxf>
    <dxf>
      <fill>
        <patternFill patternType="solid">
          <bgColor rgb="FFFF5B5B"/>
        </patternFill>
      </fill>
    </dxf>
    <dxf>
      <fill>
        <patternFill patternType="solid">
          <bgColor rgb="FFF3F35F"/>
        </patternFill>
      </fill>
    </dxf>
    <dxf>
      <fill>
        <patternFill patternType="solid">
          <bgColor rgb="FF92D050"/>
        </patternFill>
      </fill>
    </dxf>
    <dxf>
      <fill>
        <patternFill patternType="solid">
          <bgColor rgb="FFEF9275"/>
        </patternFill>
      </fill>
    </dxf>
    <dxf>
      <alignment horizontal="center"/>
    </dxf>
    <dxf>
      <alignment horizontal="center"/>
    </dxf>
    <dxf>
      <alignment horizontal="center"/>
    </dxf>
    <dxf>
      <alignment horizontal="center"/>
    </dxf>
    <dxf>
      <alignment horizontal="center"/>
    </dxf>
    <dxf>
      <alignment horizontal="center"/>
    </dxf>
    <dxf>
      <numFmt numFmtId="169" formatCode="0.0"/>
    </dxf>
    <dxf>
      <numFmt numFmtId="169"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fill>
        <patternFill patternType="none">
          <bgColor auto="1"/>
        </patternFill>
      </fill>
    </dxf>
    <dxf>
      <alignment horizontal="center"/>
    </dxf>
    <dxf>
      <alignment horizontal="center"/>
    </dxf>
    <dxf>
      <numFmt numFmtId="169" formatCode="0.0"/>
    </dxf>
    <dxf>
      <numFmt numFmtId="169" formatCode="0.0"/>
    </dxf>
    <dxf>
      <numFmt numFmtId="169" formatCode="0.0"/>
    </dxf>
    <dxf>
      <numFmt numFmtId="169" formatCode="0.0"/>
    </dxf>
    <dxf>
      <fill>
        <patternFill patternType="solid">
          <bgColor rgb="FF00B050"/>
        </patternFill>
      </fill>
    </dxf>
    <dxf>
      <fill>
        <patternFill>
          <bgColor rgb="FF00B050"/>
        </patternFill>
      </fill>
    </dxf>
    <dxf>
      <fill>
        <patternFill patternType="solid">
          <bgColor rgb="FFFFC000"/>
        </patternFill>
      </fill>
    </dxf>
    <dxf>
      <fill>
        <patternFill patternType="solid">
          <bgColor rgb="FFC00000"/>
        </patternFill>
      </fill>
    </dxf>
    <dxf>
      <fill>
        <patternFill patternType="none">
          <bgColor auto="1"/>
        </patternFill>
      </fill>
    </dxf>
    <dxf>
      <fill>
        <patternFill patternType="none">
          <bgColor auto="1"/>
        </patternFill>
      </fill>
    </dxf>
    <dxf>
      <fill>
        <patternFill patternType="none">
          <bgColor auto="1"/>
        </patternFill>
      </fill>
    </dxf>
    <dxf>
      <font>
        <color theme="1"/>
      </font>
    </dxf>
    <dxf>
      <fill>
        <patternFill>
          <bgColor rgb="FFF3F35F"/>
        </patternFill>
      </fill>
    </dxf>
    <dxf>
      <fill>
        <patternFill>
          <bgColor rgb="FFFF5B5B"/>
        </patternFill>
      </fill>
    </dxf>
    <dxf>
      <fill>
        <patternFill>
          <bgColor rgb="FF00D05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rgb="FFEF9275"/>
        </patternFill>
      </fill>
    </dxf>
    <dxf>
      <fill>
        <patternFill patternType="solid">
          <bgColor rgb="FF92D050"/>
        </patternFill>
      </fill>
    </dxf>
    <dxf>
      <fill>
        <patternFill patternType="solid">
          <bgColor rgb="FFF3F35F"/>
        </patternFill>
      </fill>
    </dxf>
    <dxf>
      <fill>
        <patternFill patternType="solid">
          <bgColor rgb="FFFF5B5B"/>
        </patternFill>
      </fill>
    </dxf>
    <dxf>
      <fill>
        <patternFill patternType="solid">
          <bgColor rgb="FF00B05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9" formatCode="0.0"/>
    </dxf>
    <dxf>
      <numFmt numFmtId="169" formatCode="0.0"/>
    </dxf>
    <dxf>
      <numFmt numFmtId="1" formatCode="0"/>
    </dxf>
    <dxf>
      <alignment horizontal="center"/>
    </dxf>
    <dxf>
      <fill>
        <patternFill patternType="solid">
          <bgColor rgb="FF00D05E"/>
        </patternFill>
      </fill>
    </dxf>
    <dxf>
      <fill>
        <patternFill patternType="solid">
          <bgColor rgb="FF92D050"/>
        </patternFill>
      </fill>
    </dxf>
    <dxf>
      <fill>
        <patternFill patternType="solid">
          <bgColor rgb="FFFF5B5B"/>
        </patternFill>
      </fill>
    </dxf>
    <dxf>
      <numFmt numFmtId="1" formatCode="0"/>
    </dxf>
    <dxf>
      <numFmt numFmtId="169" formatCode="0.0"/>
    </dxf>
    <dxf>
      <numFmt numFmtId="169" formatCode="0.0"/>
    </dxf>
    <dxf>
      <numFmt numFmtId="1" formatCode="0"/>
    </dxf>
    <dxf>
      <numFmt numFmtId="169" formatCode="0.0"/>
    </dxf>
    <dxf>
      <numFmt numFmtId="169" formatCode="0.0"/>
    </dxf>
  </dxfs>
  <tableStyles count="1" defaultTableStyle="TableStyleMedium2" defaultPivotStyle="PivotStyleLight16">
    <tableStyle name="Slicer Style 1" pivot="0" table="0" count="3" xr9:uid="{BAEB9AF5-102E-4E22-A2A4-C9BF4CA75171}">
      <tableStyleElement type="wholeTable" dxfId="144"/>
      <tableStyleElement type="headerRow" dxfId="143"/>
    </tableStyle>
  </tableStyles>
  <colors>
    <mruColors>
      <color rgb="FFF3F35F"/>
      <color rgb="FF00D05E"/>
      <color rgb="FF1B365D"/>
      <color rgb="FFE0F2F1"/>
      <color rgb="FFEF9275"/>
      <color rgb="FFFF5B5B"/>
    </mruColors>
  </colors>
  <extLst>
    <ext xmlns:x14="http://schemas.microsoft.com/office/spreadsheetml/2009/9/main" uri="{46F421CA-312F-682f-3DD2-61675219B42D}">
      <x14:dxfs count="4">
        <dxf>
          <fill>
            <patternFill>
              <bgColor rgb="FF00B050"/>
            </patternFill>
          </fill>
        </dxf>
        <dxf>
          <fill>
            <patternFill>
              <bgColor rgb="FF00B050"/>
            </patternFill>
          </fill>
        </dxf>
        <dxf>
          <fill>
            <patternFill>
              <bgColor rgb="FF00B050"/>
            </patternFill>
          </fill>
        </dxf>
        <dxf>
          <fill>
            <patternFill>
              <bgColor rgb="FF00B05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tyles" Target="styles.xml"/><Relationship Id="rId10" Type="http://schemas.openxmlformats.org/officeDocument/2006/relationships/pivotCacheDefinition" Target="pivotCache/pivotCacheDefinition7.xml"/><Relationship Id="rId19" Type="http://schemas.microsoft.com/office/2007/relationships/slicerCache" Target="slicerCaches/slicerCache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 student habbit performance.xlsx]Visualization!PivotTable9</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Table 1 · Gender vs Avg Exam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D05E"/>
          </a:solidFill>
          <a:ln>
            <a:noFill/>
          </a:ln>
          <a:effectLst/>
        </c:spPr>
      </c:pivotFmt>
      <c:pivotFmt>
        <c:idx val="2"/>
        <c:spPr>
          <a:solidFill>
            <a:srgbClr val="FF5B5B"/>
          </a:solidFill>
          <a:ln>
            <a:noFill/>
          </a:ln>
          <a:effectLst/>
        </c:spPr>
      </c:pivotFmt>
      <c:pivotFmt>
        <c:idx val="3"/>
        <c:spPr>
          <a:solidFill>
            <a:srgbClr val="F3F35F"/>
          </a:solidFill>
          <a:ln>
            <a:noFill/>
          </a:ln>
          <a:effectLst/>
        </c:spPr>
      </c:pivotFmt>
    </c:pivotFmts>
    <c:plotArea>
      <c:layout/>
      <c:barChart>
        <c:barDir val="col"/>
        <c:grouping val="clustered"/>
        <c:varyColors val="0"/>
        <c:ser>
          <c:idx val="0"/>
          <c:order val="0"/>
          <c:tx>
            <c:strRef>
              <c:f>Visualization!$F$12</c:f>
              <c:strCache>
                <c:ptCount val="1"/>
                <c:pt idx="0">
                  <c:v>Total</c:v>
                </c:pt>
              </c:strCache>
            </c:strRef>
          </c:tx>
          <c:spPr>
            <a:solidFill>
              <a:schemeClr val="accent1"/>
            </a:solidFill>
            <a:ln>
              <a:noFill/>
            </a:ln>
            <a:effectLst/>
          </c:spPr>
          <c:invertIfNegative val="0"/>
          <c:dPt>
            <c:idx val="0"/>
            <c:invertIfNegative val="0"/>
            <c:bubble3D val="0"/>
            <c:spPr>
              <a:solidFill>
                <a:srgbClr val="F3F35F"/>
              </a:solidFill>
              <a:ln>
                <a:noFill/>
              </a:ln>
              <a:effectLst/>
            </c:spPr>
          </c:dPt>
          <c:dPt>
            <c:idx val="1"/>
            <c:invertIfNegative val="0"/>
            <c:bubble3D val="0"/>
            <c:spPr>
              <a:solidFill>
                <a:srgbClr val="FF5B5B"/>
              </a:solidFill>
              <a:ln>
                <a:noFill/>
              </a:ln>
              <a:effectLst/>
            </c:spPr>
          </c:dPt>
          <c:dPt>
            <c:idx val="2"/>
            <c:invertIfNegative val="0"/>
            <c:bubble3D val="0"/>
            <c:spPr>
              <a:solidFill>
                <a:srgbClr val="00D05E"/>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Visualization!$E$13:$E$16</c:f>
              <c:strCache>
                <c:ptCount val="3"/>
                <c:pt idx="0">
                  <c:v>Female</c:v>
                </c:pt>
                <c:pt idx="1">
                  <c:v>Male</c:v>
                </c:pt>
                <c:pt idx="2">
                  <c:v>Other</c:v>
                </c:pt>
              </c:strCache>
            </c:strRef>
          </c:cat>
          <c:val>
            <c:numRef>
              <c:f>Visualization!$F$13:$F$16</c:f>
              <c:numCache>
                <c:formatCode>0.0</c:formatCode>
                <c:ptCount val="3"/>
                <c:pt idx="0">
                  <c:v>69.741372141372139</c:v>
                </c:pt>
                <c:pt idx="1">
                  <c:v>69.368343815513626</c:v>
                </c:pt>
                <c:pt idx="2">
                  <c:v>70.647619047619045</c:v>
                </c:pt>
              </c:numCache>
            </c:numRef>
          </c:val>
          <c:extLst>
            <c:ext xmlns:c16="http://schemas.microsoft.com/office/drawing/2014/chart" uri="{C3380CC4-5D6E-409C-BE32-E72D297353CC}">
              <c16:uniqueId val="{00000006-5193-44B0-B48C-3A742567BFF7}"/>
            </c:ext>
          </c:extLst>
        </c:ser>
        <c:dLbls>
          <c:dLblPos val="outEnd"/>
          <c:showLegendKey val="0"/>
          <c:showVal val="1"/>
          <c:showCatName val="0"/>
          <c:showSerName val="0"/>
          <c:showPercent val="0"/>
          <c:showBubbleSize val="0"/>
        </c:dLbls>
        <c:gapWidth val="219"/>
        <c:overlap val="-27"/>
        <c:axId val="1808293215"/>
        <c:axId val="1808288415"/>
      </c:barChart>
      <c:catAx>
        <c:axId val="180829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288415"/>
        <c:crosses val="autoZero"/>
        <c:auto val="1"/>
        <c:lblAlgn val="ctr"/>
        <c:lblOffset val="100"/>
        <c:noMultiLvlLbl val="0"/>
      </c:catAx>
      <c:valAx>
        <c:axId val="1808288415"/>
        <c:scaling>
          <c:orientation val="minMax"/>
        </c:scaling>
        <c:delete val="1"/>
        <c:axPos val="l"/>
        <c:numFmt formatCode="0.0" sourceLinked="1"/>
        <c:majorTickMark val="none"/>
        <c:minorTickMark val="none"/>
        <c:tickLblPos val="nextTo"/>
        <c:crossAx val="1808293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 student habbit performance.xlsx]Visualization!PivotTable8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Table 2 · Study Hours vs Avg Exam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3F3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5B5B"/>
          </a:solidFill>
          <a:ln>
            <a:noFill/>
          </a:ln>
          <a:effectLst/>
        </c:spPr>
      </c:pivotFmt>
      <c:pivotFmt>
        <c:idx val="2"/>
        <c:spPr>
          <a:solidFill>
            <a:srgbClr val="00D05E"/>
          </a:solidFill>
          <a:ln>
            <a:noFill/>
          </a:ln>
          <a:effectLst/>
        </c:spPr>
      </c:pivotFmt>
      <c:pivotFmt>
        <c:idx val="3"/>
        <c:spPr>
          <a:solidFill>
            <a:srgbClr val="92D050"/>
          </a:solidFill>
          <a:ln>
            <a:noFill/>
          </a:ln>
          <a:effectLst/>
        </c:spPr>
      </c:pivotFmt>
    </c:pivotFmts>
    <c:plotArea>
      <c:layout/>
      <c:barChart>
        <c:barDir val="col"/>
        <c:grouping val="clustered"/>
        <c:varyColors val="0"/>
        <c:ser>
          <c:idx val="0"/>
          <c:order val="0"/>
          <c:tx>
            <c:strRef>
              <c:f>Visualization!$K$12</c:f>
              <c:strCache>
                <c:ptCount val="1"/>
                <c:pt idx="0">
                  <c:v>Total</c:v>
                </c:pt>
              </c:strCache>
            </c:strRef>
          </c:tx>
          <c:spPr>
            <a:solidFill>
              <a:srgbClr val="F3F35F"/>
            </a:solidFill>
            <a:ln>
              <a:noFill/>
            </a:ln>
            <a:effectLst/>
          </c:spPr>
          <c:invertIfNegative val="0"/>
          <c:dPt>
            <c:idx val="0"/>
            <c:invertIfNegative val="0"/>
            <c:bubble3D val="0"/>
            <c:spPr>
              <a:solidFill>
                <a:srgbClr val="FF5B5B"/>
              </a:solidFill>
              <a:ln>
                <a:noFill/>
              </a:ln>
              <a:effectLst/>
            </c:spPr>
          </c:dPt>
          <c:dPt>
            <c:idx val="2"/>
            <c:invertIfNegative val="0"/>
            <c:bubble3D val="0"/>
            <c:spPr>
              <a:solidFill>
                <a:srgbClr val="92D050"/>
              </a:solidFill>
              <a:ln>
                <a:noFill/>
              </a:ln>
              <a:effectLst/>
            </c:spPr>
          </c:dPt>
          <c:dPt>
            <c:idx val="3"/>
            <c:invertIfNegative val="0"/>
            <c:bubble3D val="0"/>
            <c:spPr>
              <a:solidFill>
                <a:srgbClr val="00D05E"/>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Visualization!$J$13:$J$17</c:f>
              <c:strCache>
                <c:ptCount val="4"/>
                <c:pt idx="0">
                  <c:v>0-2hrs</c:v>
                </c:pt>
                <c:pt idx="1">
                  <c:v>3-4hrs</c:v>
                </c:pt>
                <c:pt idx="2">
                  <c:v>5-6hrs</c:v>
                </c:pt>
                <c:pt idx="3">
                  <c:v>7-8hrs</c:v>
                </c:pt>
              </c:strCache>
            </c:strRef>
          </c:cat>
          <c:val>
            <c:numRef>
              <c:f>Visualization!$K$13:$K$17</c:f>
              <c:numCache>
                <c:formatCode>0.0</c:formatCode>
                <c:ptCount val="4"/>
                <c:pt idx="0">
                  <c:v>46.973376623376623</c:v>
                </c:pt>
                <c:pt idx="1">
                  <c:v>74.366622864651774</c:v>
                </c:pt>
                <c:pt idx="2">
                  <c:v>67.391566265060234</c:v>
                </c:pt>
                <c:pt idx="3">
                  <c:v>90.55</c:v>
                </c:pt>
              </c:numCache>
            </c:numRef>
          </c:val>
          <c:extLst>
            <c:ext xmlns:c16="http://schemas.microsoft.com/office/drawing/2014/chart" uri="{C3380CC4-5D6E-409C-BE32-E72D297353CC}">
              <c16:uniqueId val="{00000006-0C31-4D09-9757-ACA333E7253D}"/>
            </c:ext>
          </c:extLst>
        </c:ser>
        <c:dLbls>
          <c:dLblPos val="outEnd"/>
          <c:showLegendKey val="0"/>
          <c:showVal val="1"/>
          <c:showCatName val="0"/>
          <c:showSerName val="0"/>
          <c:showPercent val="0"/>
          <c:showBubbleSize val="0"/>
        </c:dLbls>
        <c:gapWidth val="219"/>
        <c:overlap val="-27"/>
        <c:axId val="1812344639"/>
        <c:axId val="1812346079"/>
      </c:barChart>
      <c:catAx>
        <c:axId val="181234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346079"/>
        <c:crosses val="autoZero"/>
        <c:auto val="1"/>
        <c:lblAlgn val="ctr"/>
        <c:lblOffset val="100"/>
        <c:noMultiLvlLbl val="0"/>
      </c:catAx>
      <c:valAx>
        <c:axId val="1812346079"/>
        <c:scaling>
          <c:orientation val="minMax"/>
        </c:scaling>
        <c:delete val="1"/>
        <c:axPos val="l"/>
        <c:numFmt formatCode="0.0" sourceLinked="1"/>
        <c:majorTickMark val="none"/>
        <c:minorTickMark val="none"/>
        <c:tickLblPos val="nextTo"/>
        <c:crossAx val="1812344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 student habbit performance.xlsx]Visualization!PivotTable6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Table 3 · Social Hours vs Avg Exam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D0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5B5B"/>
          </a:solidFill>
          <a:ln>
            <a:noFill/>
          </a:ln>
          <a:effectLst/>
        </c:spPr>
      </c:pivotFmt>
      <c:pivotFmt>
        <c:idx val="2"/>
        <c:spPr>
          <a:solidFill>
            <a:srgbClr val="EF9275"/>
          </a:solidFill>
          <a:ln>
            <a:noFill/>
          </a:ln>
          <a:effectLst/>
        </c:spPr>
      </c:pivotFmt>
      <c:pivotFmt>
        <c:idx val="3"/>
        <c:spPr>
          <a:solidFill>
            <a:srgbClr val="F3F35F"/>
          </a:solidFill>
          <a:ln>
            <a:noFill/>
          </a:ln>
          <a:effectLst/>
        </c:spPr>
      </c:pivotFmt>
      <c:pivotFmt>
        <c:idx val="4"/>
        <c:spPr>
          <a:solidFill>
            <a:srgbClr val="92D050"/>
          </a:solidFill>
          <a:ln>
            <a:noFill/>
          </a:ln>
          <a:effectLst/>
        </c:spPr>
      </c:pivotFmt>
    </c:pivotFmts>
    <c:plotArea>
      <c:layout/>
      <c:barChart>
        <c:barDir val="bar"/>
        <c:grouping val="clustered"/>
        <c:varyColors val="0"/>
        <c:ser>
          <c:idx val="0"/>
          <c:order val="0"/>
          <c:tx>
            <c:strRef>
              <c:f>Visualization!$F$20</c:f>
              <c:strCache>
                <c:ptCount val="1"/>
                <c:pt idx="0">
                  <c:v>Total</c:v>
                </c:pt>
              </c:strCache>
            </c:strRef>
          </c:tx>
          <c:spPr>
            <a:solidFill>
              <a:srgbClr val="00D05E"/>
            </a:solidFill>
            <a:ln>
              <a:noFill/>
            </a:ln>
            <a:effectLst/>
          </c:spPr>
          <c:invertIfNegative val="0"/>
          <c:dPt>
            <c:idx val="1"/>
            <c:invertIfNegative val="0"/>
            <c:bubble3D val="0"/>
            <c:spPr>
              <a:solidFill>
                <a:srgbClr val="92D050"/>
              </a:solidFill>
              <a:ln>
                <a:noFill/>
              </a:ln>
              <a:effectLst/>
            </c:spPr>
          </c:dPt>
          <c:dPt>
            <c:idx val="2"/>
            <c:invertIfNegative val="0"/>
            <c:bubble3D val="0"/>
            <c:spPr>
              <a:solidFill>
                <a:srgbClr val="F3F35F"/>
              </a:solidFill>
              <a:ln>
                <a:noFill/>
              </a:ln>
              <a:effectLst/>
            </c:spPr>
          </c:dPt>
          <c:dPt>
            <c:idx val="3"/>
            <c:invertIfNegative val="0"/>
            <c:bubble3D val="0"/>
            <c:spPr>
              <a:solidFill>
                <a:srgbClr val="EF9275"/>
              </a:solidFill>
              <a:ln>
                <a:noFill/>
              </a:ln>
              <a:effectLst/>
            </c:spPr>
          </c:dPt>
          <c:dPt>
            <c:idx val="4"/>
            <c:invertIfNegative val="0"/>
            <c:bubble3D val="0"/>
            <c:spPr>
              <a:solidFill>
                <a:srgbClr val="FF5B5B"/>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Visualization!$E$21:$E$26</c:f>
              <c:strCache>
                <c:ptCount val="5"/>
                <c:pt idx="0">
                  <c:v>0-1hrs</c:v>
                </c:pt>
                <c:pt idx="1">
                  <c:v>1-2hrs</c:v>
                </c:pt>
                <c:pt idx="2">
                  <c:v>2-3hrs</c:v>
                </c:pt>
                <c:pt idx="3">
                  <c:v>3-4hrs</c:v>
                </c:pt>
                <c:pt idx="4">
                  <c:v>4+hrs</c:v>
                </c:pt>
              </c:strCache>
            </c:strRef>
          </c:cat>
          <c:val>
            <c:numRef>
              <c:f>Visualization!$F$21:$F$26</c:f>
              <c:numCache>
                <c:formatCode>0.0</c:formatCode>
                <c:ptCount val="5"/>
                <c:pt idx="0">
                  <c:v>73.944642857142853</c:v>
                </c:pt>
                <c:pt idx="1">
                  <c:v>72.251028806584358</c:v>
                </c:pt>
                <c:pt idx="2">
                  <c:v>70.081904761904767</c:v>
                </c:pt>
                <c:pt idx="3">
                  <c:v>66.087606837606842</c:v>
                </c:pt>
                <c:pt idx="4">
                  <c:v>64.816666666666663</c:v>
                </c:pt>
              </c:numCache>
            </c:numRef>
          </c:val>
          <c:extLst>
            <c:ext xmlns:c16="http://schemas.microsoft.com/office/drawing/2014/chart" uri="{C3380CC4-5D6E-409C-BE32-E72D297353CC}">
              <c16:uniqueId val="{00000007-3315-423C-BE78-7B35A71C6737}"/>
            </c:ext>
          </c:extLst>
        </c:ser>
        <c:dLbls>
          <c:dLblPos val="outEnd"/>
          <c:showLegendKey val="0"/>
          <c:showVal val="1"/>
          <c:showCatName val="0"/>
          <c:showSerName val="0"/>
          <c:showPercent val="0"/>
          <c:showBubbleSize val="0"/>
        </c:dLbls>
        <c:gapWidth val="255"/>
        <c:axId val="1811310143"/>
        <c:axId val="1811309183"/>
      </c:barChart>
      <c:catAx>
        <c:axId val="1811310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309183"/>
        <c:crosses val="autoZero"/>
        <c:auto val="1"/>
        <c:lblAlgn val="ctr"/>
        <c:lblOffset val="100"/>
        <c:noMultiLvlLbl val="0"/>
      </c:catAx>
      <c:valAx>
        <c:axId val="1811309183"/>
        <c:scaling>
          <c:orientation val="minMax"/>
        </c:scaling>
        <c:delete val="1"/>
        <c:axPos val="b"/>
        <c:numFmt formatCode="0.0" sourceLinked="1"/>
        <c:majorTickMark val="none"/>
        <c:minorTickMark val="none"/>
        <c:tickLblPos val="nextTo"/>
        <c:crossAx val="1811310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 student habbit performance.xlsx]Visualization!PivotTable7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Table 4 · Attendance vs Avg Exam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5B5B"/>
          </a:solidFill>
          <a:ln w="19050">
            <a:solidFill>
              <a:schemeClr val="lt1"/>
            </a:solidFill>
          </a:ln>
          <a:effectLst/>
        </c:spPr>
      </c:pivotFmt>
      <c:pivotFmt>
        <c:idx val="2"/>
        <c:spPr>
          <a:solidFill>
            <a:srgbClr val="EF9275"/>
          </a:solidFill>
          <a:ln w="19050">
            <a:solidFill>
              <a:schemeClr val="lt1"/>
            </a:solidFill>
          </a:ln>
          <a:effectLst/>
        </c:spPr>
      </c:pivotFmt>
      <c:pivotFmt>
        <c:idx val="3"/>
        <c:spPr>
          <a:solidFill>
            <a:srgbClr val="92D050"/>
          </a:solidFill>
          <a:ln w="19050">
            <a:solidFill>
              <a:schemeClr val="lt1"/>
            </a:solidFill>
          </a:ln>
          <a:effectLst/>
        </c:spPr>
      </c:pivotFmt>
      <c:pivotFmt>
        <c:idx val="4"/>
        <c:spPr>
          <a:solidFill>
            <a:srgbClr val="F3F35F"/>
          </a:solidFill>
          <a:ln w="19050">
            <a:solidFill>
              <a:schemeClr val="lt1"/>
            </a:solidFill>
          </a:ln>
          <a:effectLst/>
        </c:spPr>
      </c:pivotFmt>
      <c:pivotFmt>
        <c:idx val="5"/>
        <c:spPr>
          <a:solidFill>
            <a:srgbClr val="00D05E"/>
          </a:solidFill>
          <a:ln w="19050">
            <a:solidFill>
              <a:schemeClr val="lt1"/>
            </a:solidFill>
          </a:ln>
          <a:effectLst/>
        </c:spPr>
      </c:pivotFmt>
    </c:pivotFmts>
    <c:plotArea>
      <c:layout/>
      <c:pieChart>
        <c:varyColors val="1"/>
        <c:ser>
          <c:idx val="0"/>
          <c:order val="0"/>
          <c:tx>
            <c:strRef>
              <c:f>Visualization!$K$20</c:f>
              <c:strCache>
                <c:ptCount val="1"/>
                <c:pt idx="0">
                  <c:v>Total</c:v>
                </c:pt>
              </c:strCache>
            </c:strRef>
          </c:tx>
          <c:dPt>
            <c:idx val="0"/>
            <c:bubble3D val="0"/>
            <c:spPr>
              <a:solidFill>
                <a:srgbClr val="FF5B5B"/>
              </a:solidFill>
              <a:ln w="19050">
                <a:solidFill>
                  <a:schemeClr val="lt1"/>
                </a:solidFill>
              </a:ln>
              <a:effectLst/>
            </c:spPr>
          </c:dPt>
          <c:dPt>
            <c:idx val="1"/>
            <c:bubble3D val="0"/>
            <c:spPr>
              <a:solidFill>
                <a:srgbClr val="EF9275"/>
              </a:solidFill>
              <a:ln w="19050">
                <a:solidFill>
                  <a:schemeClr val="lt1"/>
                </a:solidFill>
              </a:ln>
              <a:effectLst/>
            </c:spPr>
          </c:dPt>
          <c:dPt>
            <c:idx val="2"/>
            <c:bubble3D val="0"/>
            <c:spPr>
              <a:solidFill>
                <a:srgbClr val="F3F35F"/>
              </a:solidFill>
              <a:ln w="19050">
                <a:solidFill>
                  <a:schemeClr val="lt1"/>
                </a:solidFill>
              </a:ln>
              <a:effectLst/>
            </c:spPr>
          </c:dPt>
          <c:dPt>
            <c:idx val="3"/>
            <c:bubble3D val="0"/>
            <c:spPr>
              <a:solidFill>
                <a:srgbClr val="92D050"/>
              </a:solidFill>
              <a:ln w="19050">
                <a:solidFill>
                  <a:schemeClr val="lt1"/>
                </a:solidFill>
              </a:ln>
              <a:effectLst/>
            </c:spPr>
          </c:dPt>
          <c:dPt>
            <c:idx val="4"/>
            <c:bubble3D val="0"/>
            <c:spPr>
              <a:solidFill>
                <a:srgbClr val="00D05E"/>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Visualization!$J$21:$J$26</c:f>
              <c:strCache>
                <c:ptCount val="5"/>
                <c:pt idx="0">
                  <c:v>0-60%</c:v>
                </c:pt>
                <c:pt idx="1">
                  <c:v>61-70%</c:v>
                </c:pt>
                <c:pt idx="2">
                  <c:v>71-80%</c:v>
                </c:pt>
                <c:pt idx="3">
                  <c:v>81-90%</c:v>
                </c:pt>
                <c:pt idx="4">
                  <c:v>91-100%</c:v>
                </c:pt>
              </c:strCache>
            </c:strRef>
          </c:cat>
          <c:val>
            <c:numRef>
              <c:f>Visualization!$K$21:$K$26</c:f>
              <c:numCache>
                <c:formatCode>0.0</c:formatCode>
                <c:ptCount val="5"/>
                <c:pt idx="0">
                  <c:v>67.55714285714285</c:v>
                </c:pt>
                <c:pt idx="1">
                  <c:v>68.092857142857142</c:v>
                </c:pt>
                <c:pt idx="2">
                  <c:v>68.246428571428567</c:v>
                </c:pt>
                <c:pt idx="3">
                  <c:v>69.422979797979792</c:v>
                </c:pt>
                <c:pt idx="4">
                  <c:v>71.536363636363632</c:v>
                </c:pt>
              </c:numCache>
            </c:numRef>
          </c:val>
          <c:extLst>
            <c:ext xmlns:c16="http://schemas.microsoft.com/office/drawing/2014/chart" uri="{C3380CC4-5D6E-409C-BE32-E72D297353CC}">
              <c16:uniqueId val="{00000008-513C-44C5-BEB5-32B62CB3BA2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 student habbit performance.xlsx]Visualization!PivotTable9</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Table 1 · Gender vs Avg Exam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D05E"/>
          </a:solidFill>
          <a:ln>
            <a:noFill/>
          </a:ln>
          <a:effectLst/>
        </c:spPr>
      </c:pivotFmt>
      <c:pivotFmt>
        <c:idx val="2"/>
        <c:spPr>
          <a:solidFill>
            <a:srgbClr val="FF5B5B"/>
          </a:solidFill>
          <a:ln>
            <a:noFill/>
          </a:ln>
          <a:effectLst/>
        </c:spPr>
      </c:pivotFmt>
      <c:pivotFmt>
        <c:idx val="3"/>
        <c:spPr>
          <a:solidFill>
            <a:srgbClr val="F3F35F"/>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F35F"/>
          </a:solidFill>
          <a:ln>
            <a:noFill/>
          </a:ln>
          <a:effectLst/>
        </c:spPr>
      </c:pivotFmt>
      <c:pivotFmt>
        <c:idx val="6"/>
        <c:spPr>
          <a:solidFill>
            <a:srgbClr val="FF5B5B"/>
          </a:solidFill>
          <a:ln>
            <a:noFill/>
          </a:ln>
          <a:effectLst/>
        </c:spPr>
      </c:pivotFmt>
      <c:pivotFmt>
        <c:idx val="7"/>
        <c:spPr>
          <a:solidFill>
            <a:srgbClr val="00D05E"/>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3F35F"/>
          </a:solidFill>
          <a:ln>
            <a:noFill/>
          </a:ln>
          <a:effectLst/>
        </c:spPr>
      </c:pivotFmt>
      <c:pivotFmt>
        <c:idx val="10"/>
        <c:spPr>
          <a:solidFill>
            <a:srgbClr val="FF5B5B"/>
          </a:solidFill>
          <a:ln>
            <a:noFill/>
          </a:ln>
          <a:effectLst/>
        </c:spPr>
      </c:pivotFmt>
      <c:pivotFmt>
        <c:idx val="11"/>
        <c:spPr>
          <a:solidFill>
            <a:srgbClr val="00D05E"/>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3F35F"/>
          </a:solidFill>
          <a:ln>
            <a:noFill/>
          </a:ln>
          <a:effectLst/>
        </c:spPr>
      </c:pivotFmt>
      <c:pivotFmt>
        <c:idx val="14"/>
        <c:spPr>
          <a:solidFill>
            <a:srgbClr val="FF5B5B"/>
          </a:solidFill>
          <a:ln>
            <a:noFill/>
          </a:ln>
          <a:effectLst/>
        </c:spPr>
      </c:pivotFmt>
      <c:pivotFmt>
        <c:idx val="15"/>
        <c:spPr>
          <a:solidFill>
            <a:srgbClr val="00D05E"/>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3F35F"/>
          </a:solidFill>
          <a:ln>
            <a:noFill/>
          </a:ln>
          <a:effectLst/>
        </c:spPr>
      </c:pivotFmt>
      <c:pivotFmt>
        <c:idx val="18"/>
        <c:spPr>
          <a:solidFill>
            <a:srgbClr val="FF5B5B"/>
          </a:solidFill>
          <a:ln>
            <a:noFill/>
          </a:ln>
          <a:effectLst/>
        </c:spPr>
      </c:pivotFmt>
      <c:pivotFmt>
        <c:idx val="19"/>
        <c:spPr>
          <a:solidFill>
            <a:srgbClr val="00D05E"/>
          </a:solidFill>
          <a:ln>
            <a:noFill/>
          </a:ln>
          <a:effectLst/>
        </c:spPr>
      </c:pivotFmt>
    </c:pivotFmts>
    <c:plotArea>
      <c:layout/>
      <c:barChart>
        <c:barDir val="col"/>
        <c:grouping val="clustered"/>
        <c:varyColors val="0"/>
        <c:ser>
          <c:idx val="0"/>
          <c:order val="0"/>
          <c:tx>
            <c:strRef>
              <c:f>Visualization!$F$12</c:f>
              <c:strCache>
                <c:ptCount val="1"/>
                <c:pt idx="0">
                  <c:v>Total</c:v>
                </c:pt>
              </c:strCache>
            </c:strRef>
          </c:tx>
          <c:spPr>
            <a:solidFill>
              <a:schemeClr val="accent1"/>
            </a:solidFill>
            <a:ln>
              <a:noFill/>
            </a:ln>
            <a:effectLst/>
          </c:spPr>
          <c:invertIfNegative val="0"/>
          <c:dPt>
            <c:idx val="0"/>
            <c:invertIfNegative val="0"/>
            <c:bubble3D val="0"/>
            <c:spPr>
              <a:solidFill>
                <a:srgbClr val="F3F35F"/>
              </a:solidFill>
              <a:ln>
                <a:noFill/>
              </a:ln>
              <a:effectLst/>
            </c:spPr>
          </c:dPt>
          <c:dPt>
            <c:idx val="1"/>
            <c:invertIfNegative val="0"/>
            <c:bubble3D val="0"/>
            <c:spPr>
              <a:solidFill>
                <a:srgbClr val="FF5B5B"/>
              </a:solidFill>
              <a:ln>
                <a:noFill/>
              </a:ln>
              <a:effectLst/>
            </c:spPr>
          </c:dPt>
          <c:dPt>
            <c:idx val="2"/>
            <c:invertIfNegative val="0"/>
            <c:bubble3D val="0"/>
            <c:spPr>
              <a:solidFill>
                <a:srgbClr val="00D05E"/>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Visualization!$E$13:$E$16</c:f>
              <c:strCache>
                <c:ptCount val="3"/>
                <c:pt idx="0">
                  <c:v>Female</c:v>
                </c:pt>
                <c:pt idx="1">
                  <c:v>Male</c:v>
                </c:pt>
                <c:pt idx="2">
                  <c:v>Other</c:v>
                </c:pt>
              </c:strCache>
            </c:strRef>
          </c:cat>
          <c:val>
            <c:numRef>
              <c:f>Visualization!$F$13:$F$16</c:f>
              <c:numCache>
                <c:formatCode>0.0</c:formatCode>
                <c:ptCount val="3"/>
                <c:pt idx="0">
                  <c:v>69.741372141372139</c:v>
                </c:pt>
                <c:pt idx="1">
                  <c:v>69.368343815513626</c:v>
                </c:pt>
                <c:pt idx="2">
                  <c:v>70.647619047619045</c:v>
                </c:pt>
              </c:numCache>
            </c:numRef>
          </c:val>
          <c:extLst>
            <c:ext xmlns:c16="http://schemas.microsoft.com/office/drawing/2014/chart" uri="{C3380CC4-5D6E-409C-BE32-E72D297353CC}">
              <c16:uniqueId val="{00000009-CE86-42B1-80BA-3F7508BDFDE3}"/>
            </c:ext>
          </c:extLst>
        </c:ser>
        <c:dLbls>
          <c:dLblPos val="outEnd"/>
          <c:showLegendKey val="0"/>
          <c:showVal val="1"/>
          <c:showCatName val="0"/>
          <c:showSerName val="0"/>
          <c:showPercent val="0"/>
          <c:showBubbleSize val="0"/>
        </c:dLbls>
        <c:gapWidth val="219"/>
        <c:overlap val="-27"/>
        <c:axId val="1808293215"/>
        <c:axId val="1808288415"/>
      </c:barChart>
      <c:catAx>
        <c:axId val="180829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288415"/>
        <c:crosses val="autoZero"/>
        <c:auto val="1"/>
        <c:lblAlgn val="ctr"/>
        <c:lblOffset val="100"/>
        <c:noMultiLvlLbl val="0"/>
      </c:catAx>
      <c:valAx>
        <c:axId val="1808288415"/>
        <c:scaling>
          <c:orientation val="minMax"/>
        </c:scaling>
        <c:delete val="1"/>
        <c:axPos val="l"/>
        <c:numFmt formatCode="0.0" sourceLinked="1"/>
        <c:majorTickMark val="none"/>
        <c:minorTickMark val="none"/>
        <c:tickLblPos val="nextTo"/>
        <c:crossAx val="1808293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 student habbit performance.xlsx]Visualization!PivotTable8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Table 2 · Study Hours vs Avg Exam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3F3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5B5B"/>
          </a:solidFill>
          <a:ln>
            <a:noFill/>
          </a:ln>
          <a:effectLst/>
        </c:spPr>
      </c:pivotFmt>
      <c:pivotFmt>
        <c:idx val="2"/>
        <c:spPr>
          <a:solidFill>
            <a:srgbClr val="00D05E"/>
          </a:solidFill>
          <a:ln>
            <a:noFill/>
          </a:ln>
          <a:effectLst/>
        </c:spPr>
      </c:pivotFmt>
      <c:pivotFmt>
        <c:idx val="3"/>
        <c:spPr>
          <a:solidFill>
            <a:srgbClr val="92D050"/>
          </a:solidFill>
          <a:ln>
            <a:noFill/>
          </a:ln>
          <a:effectLst/>
        </c:spPr>
      </c:pivotFmt>
      <c:pivotFmt>
        <c:idx val="4"/>
        <c:spPr>
          <a:solidFill>
            <a:srgbClr val="F3F3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5B5B"/>
          </a:solidFill>
          <a:ln>
            <a:noFill/>
          </a:ln>
          <a:effectLst/>
        </c:spPr>
      </c:pivotFmt>
      <c:pivotFmt>
        <c:idx val="6"/>
        <c:spPr>
          <a:solidFill>
            <a:srgbClr val="92D050"/>
          </a:solidFill>
          <a:ln>
            <a:noFill/>
          </a:ln>
          <a:effectLst/>
        </c:spPr>
      </c:pivotFmt>
      <c:pivotFmt>
        <c:idx val="7"/>
        <c:spPr>
          <a:solidFill>
            <a:srgbClr val="00D05E"/>
          </a:solidFill>
          <a:ln>
            <a:noFill/>
          </a:ln>
          <a:effectLst/>
        </c:spPr>
      </c:pivotFmt>
      <c:pivotFmt>
        <c:idx val="8"/>
        <c:spPr>
          <a:solidFill>
            <a:srgbClr val="F3F3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5B5B"/>
          </a:solidFill>
          <a:ln>
            <a:noFill/>
          </a:ln>
          <a:effectLst/>
        </c:spPr>
      </c:pivotFmt>
      <c:pivotFmt>
        <c:idx val="10"/>
        <c:spPr>
          <a:solidFill>
            <a:srgbClr val="92D050"/>
          </a:solidFill>
          <a:ln>
            <a:noFill/>
          </a:ln>
          <a:effectLst/>
        </c:spPr>
      </c:pivotFmt>
      <c:pivotFmt>
        <c:idx val="11"/>
        <c:spPr>
          <a:solidFill>
            <a:srgbClr val="00D05E"/>
          </a:solidFill>
          <a:ln>
            <a:noFill/>
          </a:ln>
          <a:effectLst/>
        </c:spPr>
      </c:pivotFmt>
    </c:pivotFmts>
    <c:plotArea>
      <c:layout/>
      <c:barChart>
        <c:barDir val="col"/>
        <c:grouping val="clustered"/>
        <c:varyColors val="0"/>
        <c:ser>
          <c:idx val="0"/>
          <c:order val="0"/>
          <c:tx>
            <c:strRef>
              <c:f>Visualization!$K$12</c:f>
              <c:strCache>
                <c:ptCount val="1"/>
                <c:pt idx="0">
                  <c:v>Total</c:v>
                </c:pt>
              </c:strCache>
            </c:strRef>
          </c:tx>
          <c:spPr>
            <a:solidFill>
              <a:srgbClr val="F3F35F"/>
            </a:solidFill>
            <a:ln>
              <a:noFill/>
            </a:ln>
            <a:effectLst/>
          </c:spPr>
          <c:invertIfNegative val="0"/>
          <c:dPt>
            <c:idx val="0"/>
            <c:invertIfNegative val="0"/>
            <c:bubble3D val="0"/>
            <c:spPr>
              <a:solidFill>
                <a:srgbClr val="FF5B5B"/>
              </a:solidFill>
              <a:ln>
                <a:noFill/>
              </a:ln>
              <a:effectLst/>
            </c:spPr>
          </c:dPt>
          <c:dPt>
            <c:idx val="2"/>
            <c:invertIfNegative val="0"/>
            <c:bubble3D val="0"/>
            <c:spPr>
              <a:solidFill>
                <a:srgbClr val="92D050"/>
              </a:solidFill>
              <a:ln>
                <a:noFill/>
              </a:ln>
              <a:effectLst/>
            </c:spPr>
          </c:dPt>
          <c:dPt>
            <c:idx val="3"/>
            <c:invertIfNegative val="0"/>
            <c:bubble3D val="0"/>
            <c:spPr>
              <a:solidFill>
                <a:srgbClr val="00D05E"/>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Visualization!$J$13:$J$17</c:f>
              <c:strCache>
                <c:ptCount val="4"/>
                <c:pt idx="0">
                  <c:v>0-2hrs</c:v>
                </c:pt>
                <c:pt idx="1">
                  <c:v>3-4hrs</c:v>
                </c:pt>
                <c:pt idx="2">
                  <c:v>5-6hrs</c:v>
                </c:pt>
                <c:pt idx="3">
                  <c:v>7-8hrs</c:v>
                </c:pt>
              </c:strCache>
            </c:strRef>
          </c:cat>
          <c:val>
            <c:numRef>
              <c:f>Visualization!$K$13:$K$17</c:f>
              <c:numCache>
                <c:formatCode>0.0</c:formatCode>
                <c:ptCount val="4"/>
                <c:pt idx="0">
                  <c:v>46.973376623376623</c:v>
                </c:pt>
                <c:pt idx="1">
                  <c:v>74.366622864651774</c:v>
                </c:pt>
                <c:pt idx="2">
                  <c:v>67.391566265060234</c:v>
                </c:pt>
                <c:pt idx="3">
                  <c:v>90.55</c:v>
                </c:pt>
              </c:numCache>
            </c:numRef>
          </c:val>
          <c:extLst>
            <c:ext xmlns:c16="http://schemas.microsoft.com/office/drawing/2014/chart" uri="{C3380CC4-5D6E-409C-BE32-E72D297353CC}">
              <c16:uniqueId val="{00000009-0940-48AA-AC57-C108F572E5A7}"/>
            </c:ext>
          </c:extLst>
        </c:ser>
        <c:dLbls>
          <c:dLblPos val="outEnd"/>
          <c:showLegendKey val="0"/>
          <c:showVal val="1"/>
          <c:showCatName val="0"/>
          <c:showSerName val="0"/>
          <c:showPercent val="0"/>
          <c:showBubbleSize val="0"/>
        </c:dLbls>
        <c:gapWidth val="219"/>
        <c:overlap val="-27"/>
        <c:axId val="1812344639"/>
        <c:axId val="1812346079"/>
      </c:barChart>
      <c:catAx>
        <c:axId val="181234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346079"/>
        <c:crosses val="autoZero"/>
        <c:auto val="1"/>
        <c:lblAlgn val="ctr"/>
        <c:lblOffset val="100"/>
        <c:noMultiLvlLbl val="0"/>
      </c:catAx>
      <c:valAx>
        <c:axId val="1812346079"/>
        <c:scaling>
          <c:orientation val="minMax"/>
        </c:scaling>
        <c:delete val="1"/>
        <c:axPos val="l"/>
        <c:numFmt formatCode="0.0" sourceLinked="1"/>
        <c:majorTickMark val="none"/>
        <c:minorTickMark val="none"/>
        <c:tickLblPos val="nextTo"/>
        <c:crossAx val="1812344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 student habbit performance.xlsx]Visualization!PivotTable6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Table 3 · Social Hours vs Avg Exam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D0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5B5B"/>
          </a:solidFill>
          <a:ln>
            <a:noFill/>
          </a:ln>
          <a:effectLst/>
        </c:spPr>
      </c:pivotFmt>
      <c:pivotFmt>
        <c:idx val="2"/>
        <c:spPr>
          <a:solidFill>
            <a:srgbClr val="EF9275"/>
          </a:solidFill>
          <a:ln>
            <a:noFill/>
          </a:ln>
          <a:effectLst/>
        </c:spPr>
      </c:pivotFmt>
      <c:pivotFmt>
        <c:idx val="3"/>
        <c:spPr>
          <a:solidFill>
            <a:srgbClr val="F3F35F"/>
          </a:solidFill>
          <a:ln>
            <a:noFill/>
          </a:ln>
          <a:effectLst/>
        </c:spPr>
      </c:pivotFmt>
      <c:pivotFmt>
        <c:idx val="4"/>
        <c:spPr>
          <a:solidFill>
            <a:srgbClr val="92D050"/>
          </a:solidFill>
          <a:ln>
            <a:noFill/>
          </a:ln>
          <a:effectLst/>
        </c:spPr>
      </c:pivotFmt>
      <c:pivotFmt>
        <c:idx val="5"/>
        <c:spPr>
          <a:solidFill>
            <a:srgbClr val="00D0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pivotFmt>
      <c:pivotFmt>
        <c:idx val="7"/>
        <c:spPr>
          <a:solidFill>
            <a:srgbClr val="F3F35F"/>
          </a:solidFill>
          <a:ln>
            <a:noFill/>
          </a:ln>
          <a:effectLst/>
        </c:spPr>
      </c:pivotFmt>
      <c:pivotFmt>
        <c:idx val="8"/>
        <c:spPr>
          <a:solidFill>
            <a:srgbClr val="EF9275"/>
          </a:solidFill>
          <a:ln>
            <a:noFill/>
          </a:ln>
          <a:effectLst/>
        </c:spPr>
      </c:pivotFmt>
      <c:pivotFmt>
        <c:idx val="9"/>
        <c:spPr>
          <a:solidFill>
            <a:srgbClr val="FF5B5B"/>
          </a:solidFill>
          <a:ln>
            <a:noFill/>
          </a:ln>
          <a:effectLst/>
        </c:spPr>
      </c:pivotFmt>
      <c:pivotFmt>
        <c:idx val="10"/>
        <c:spPr>
          <a:solidFill>
            <a:srgbClr val="00D0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2D050"/>
          </a:solidFill>
          <a:ln>
            <a:noFill/>
          </a:ln>
          <a:effectLst/>
        </c:spPr>
      </c:pivotFmt>
      <c:pivotFmt>
        <c:idx val="12"/>
        <c:spPr>
          <a:solidFill>
            <a:srgbClr val="F3F35F"/>
          </a:solidFill>
          <a:ln>
            <a:noFill/>
          </a:ln>
          <a:effectLst/>
        </c:spPr>
      </c:pivotFmt>
      <c:pivotFmt>
        <c:idx val="13"/>
        <c:spPr>
          <a:solidFill>
            <a:srgbClr val="EF9275"/>
          </a:solidFill>
          <a:ln>
            <a:noFill/>
          </a:ln>
          <a:effectLst/>
        </c:spPr>
      </c:pivotFmt>
      <c:pivotFmt>
        <c:idx val="14"/>
        <c:spPr>
          <a:solidFill>
            <a:srgbClr val="FF5B5B"/>
          </a:solidFill>
          <a:ln>
            <a:noFill/>
          </a:ln>
          <a:effectLst/>
        </c:spPr>
      </c:pivotFmt>
      <c:pivotFmt>
        <c:idx val="15"/>
        <c:spPr>
          <a:solidFill>
            <a:srgbClr val="00D0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92D050"/>
          </a:solidFill>
          <a:ln>
            <a:noFill/>
          </a:ln>
          <a:effectLst/>
        </c:spPr>
      </c:pivotFmt>
      <c:pivotFmt>
        <c:idx val="17"/>
        <c:spPr>
          <a:solidFill>
            <a:srgbClr val="F3F35F"/>
          </a:solidFill>
          <a:ln>
            <a:noFill/>
          </a:ln>
          <a:effectLst/>
        </c:spPr>
      </c:pivotFmt>
      <c:pivotFmt>
        <c:idx val="18"/>
        <c:spPr>
          <a:solidFill>
            <a:srgbClr val="EF9275"/>
          </a:solidFill>
          <a:ln>
            <a:noFill/>
          </a:ln>
          <a:effectLst/>
        </c:spPr>
      </c:pivotFmt>
      <c:pivotFmt>
        <c:idx val="19"/>
        <c:spPr>
          <a:solidFill>
            <a:srgbClr val="FF5B5B"/>
          </a:solidFill>
          <a:ln>
            <a:noFill/>
          </a:ln>
          <a:effectLst/>
        </c:spPr>
      </c:pivotFmt>
      <c:pivotFmt>
        <c:idx val="20"/>
        <c:spPr>
          <a:solidFill>
            <a:srgbClr val="00D0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92D050"/>
          </a:solidFill>
          <a:ln>
            <a:noFill/>
          </a:ln>
          <a:effectLst/>
        </c:spPr>
      </c:pivotFmt>
      <c:pivotFmt>
        <c:idx val="22"/>
        <c:spPr>
          <a:solidFill>
            <a:srgbClr val="F3F35F"/>
          </a:solidFill>
          <a:ln>
            <a:noFill/>
          </a:ln>
          <a:effectLst/>
        </c:spPr>
      </c:pivotFmt>
      <c:pivotFmt>
        <c:idx val="23"/>
        <c:spPr>
          <a:solidFill>
            <a:srgbClr val="EF9275"/>
          </a:solidFill>
          <a:ln>
            <a:noFill/>
          </a:ln>
          <a:effectLst/>
        </c:spPr>
      </c:pivotFmt>
      <c:pivotFmt>
        <c:idx val="24"/>
        <c:spPr>
          <a:solidFill>
            <a:srgbClr val="FF5B5B"/>
          </a:solidFill>
          <a:ln>
            <a:noFill/>
          </a:ln>
          <a:effectLst/>
        </c:spPr>
      </c:pivotFmt>
      <c:pivotFmt>
        <c:idx val="25"/>
        <c:spPr>
          <a:solidFill>
            <a:srgbClr val="00D0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92D050"/>
          </a:solidFill>
          <a:ln>
            <a:noFill/>
          </a:ln>
          <a:effectLst/>
        </c:spPr>
      </c:pivotFmt>
      <c:pivotFmt>
        <c:idx val="27"/>
        <c:spPr>
          <a:solidFill>
            <a:srgbClr val="F3F35F"/>
          </a:solidFill>
          <a:ln>
            <a:noFill/>
          </a:ln>
          <a:effectLst/>
        </c:spPr>
      </c:pivotFmt>
      <c:pivotFmt>
        <c:idx val="28"/>
        <c:spPr>
          <a:solidFill>
            <a:srgbClr val="EF9275"/>
          </a:solidFill>
          <a:ln>
            <a:noFill/>
          </a:ln>
          <a:effectLst/>
        </c:spPr>
      </c:pivotFmt>
      <c:pivotFmt>
        <c:idx val="29"/>
        <c:spPr>
          <a:solidFill>
            <a:srgbClr val="FF5B5B"/>
          </a:solidFill>
          <a:ln>
            <a:noFill/>
          </a:ln>
          <a:effectLst/>
        </c:spPr>
      </c:pivotFmt>
      <c:pivotFmt>
        <c:idx val="30"/>
        <c:spPr>
          <a:solidFill>
            <a:srgbClr val="00D0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92D050"/>
          </a:solidFill>
          <a:ln>
            <a:noFill/>
          </a:ln>
          <a:effectLst/>
        </c:spPr>
      </c:pivotFmt>
      <c:pivotFmt>
        <c:idx val="32"/>
        <c:spPr>
          <a:solidFill>
            <a:srgbClr val="F3F35F"/>
          </a:solidFill>
          <a:ln>
            <a:noFill/>
          </a:ln>
          <a:effectLst/>
        </c:spPr>
      </c:pivotFmt>
      <c:pivotFmt>
        <c:idx val="33"/>
        <c:spPr>
          <a:solidFill>
            <a:srgbClr val="EF9275"/>
          </a:solidFill>
          <a:ln>
            <a:noFill/>
          </a:ln>
          <a:effectLst/>
        </c:spPr>
      </c:pivotFmt>
      <c:pivotFmt>
        <c:idx val="34"/>
        <c:spPr>
          <a:solidFill>
            <a:srgbClr val="FF5B5B"/>
          </a:solidFill>
          <a:ln>
            <a:noFill/>
          </a:ln>
          <a:effectLst/>
        </c:spPr>
      </c:pivotFmt>
    </c:pivotFmts>
    <c:plotArea>
      <c:layout/>
      <c:barChart>
        <c:barDir val="bar"/>
        <c:grouping val="clustered"/>
        <c:varyColors val="0"/>
        <c:ser>
          <c:idx val="0"/>
          <c:order val="0"/>
          <c:tx>
            <c:strRef>
              <c:f>Visualization!$F$20</c:f>
              <c:strCache>
                <c:ptCount val="1"/>
                <c:pt idx="0">
                  <c:v>Total</c:v>
                </c:pt>
              </c:strCache>
            </c:strRef>
          </c:tx>
          <c:spPr>
            <a:solidFill>
              <a:srgbClr val="00D05E"/>
            </a:solidFill>
            <a:ln>
              <a:noFill/>
            </a:ln>
            <a:effectLst/>
          </c:spPr>
          <c:invertIfNegative val="0"/>
          <c:dPt>
            <c:idx val="1"/>
            <c:invertIfNegative val="0"/>
            <c:bubble3D val="0"/>
            <c:spPr>
              <a:solidFill>
                <a:srgbClr val="92D050"/>
              </a:solidFill>
              <a:ln>
                <a:noFill/>
              </a:ln>
              <a:effectLst/>
            </c:spPr>
          </c:dPt>
          <c:dPt>
            <c:idx val="2"/>
            <c:invertIfNegative val="0"/>
            <c:bubble3D val="0"/>
            <c:spPr>
              <a:solidFill>
                <a:srgbClr val="F3F35F"/>
              </a:solidFill>
              <a:ln>
                <a:noFill/>
              </a:ln>
              <a:effectLst/>
            </c:spPr>
          </c:dPt>
          <c:dPt>
            <c:idx val="3"/>
            <c:invertIfNegative val="0"/>
            <c:bubble3D val="0"/>
            <c:spPr>
              <a:solidFill>
                <a:srgbClr val="EF9275"/>
              </a:solidFill>
              <a:ln>
                <a:noFill/>
              </a:ln>
              <a:effectLst/>
            </c:spPr>
          </c:dPt>
          <c:dPt>
            <c:idx val="4"/>
            <c:invertIfNegative val="0"/>
            <c:bubble3D val="0"/>
            <c:spPr>
              <a:solidFill>
                <a:srgbClr val="FF5B5B"/>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Visualization!$E$21:$E$26</c:f>
              <c:strCache>
                <c:ptCount val="5"/>
                <c:pt idx="0">
                  <c:v>0-1hrs</c:v>
                </c:pt>
                <c:pt idx="1">
                  <c:v>1-2hrs</c:v>
                </c:pt>
                <c:pt idx="2">
                  <c:v>2-3hrs</c:v>
                </c:pt>
                <c:pt idx="3">
                  <c:v>3-4hrs</c:v>
                </c:pt>
                <c:pt idx="4">
                  <c:v>4+hrs</c:v>
                </c:pt>
              </c:strCache>
            </c:strRef>
          </c:cat>
          <c:val>
            <c:numRef>
              <c:f>Visualization!$F$21:$F$26</c:f>
              <c:numCache>
                <c:formatCode>0.0</c:formatCode>
                <c:ptCount val="5"/>
                <c:pt idx="0">
                  <c:v>73.944642857142853</c:v>
                </c:pt>
                <c:pt idx="1">
                  <c:v>72.251028806584358</c:v>
                </c:pt>
                <c:pt idx="2">
                  <c:v>70.081904761904767</c:v>
                </c:pt>
                <c:pt idx="3">
                  <c:v>66.087606837606842</c:v>
                </c:pt>
                <c:pt idx="4">
                  <c:v>64.816666666666663</c:v>
                </c:pt>
              </c:numCache>
            </c:numRef>
          </c:val>
          <c:extLst>
            <c:ext xmlns:c16="http://schemas.microsoft.com/office/drawing/2014/chart" uri="{C3380CC4-5D6E-409C-BE32-E72D297353CC}">
              <c16:uniqueId val="{0000000B-265F-439B-B974-C6C6C0ABA044}"/>
            </c:ext>
          </c:extLst>
        </c:ser>
        <c:dLbls>
          <c:dLblPos val="outEnd"/>
          <c:showLegendKey val="0"/>
          <c:showVal val="1"/>
          <c:showCatName val="0"/>
          <c:showSerName val="0"/>
          <c:showPercent val="0"/>
          <c:showBubbleSize val="0"/>
        </c:dLbls>
        <c:gapWidth val="255"/>
        <c:axId val="1811310143"/>
        <c:axId val="1811309183"/>
      </c:barChart>
      <c:catAx>
        <c:axId val="1811310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309183"/>
        <c:crosses val="autoZero"/>
        <c:auto val="1"/>
        <c:lblAlgn val="ctr"/>
        <c:lblOffset val="100"/>
        <c:noMultiLvlLbl val="0"/>
      </c:catAx>
      <c:valAx>
        <c:axId val="1811309183"/>
        <c:scaling>
          <c:orientation val="minMax"/>
        </c:scaling>
        <c:delete val="1"/>
        <c:axPos val="b"/>
        <c:numFmt formatCode="0.0" sourceLinked="1"/>
        <c:majorTickMark val="none"/>
        <c:minorTickMark val="none"/>
        <c:tickLblPos val="nextTo"/>
        <c:crossAx val="1811310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 student habbit performance.xlsx]Visualization!PivotTable7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Table 4 · Attendance vs Avg Exam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5B5B"/>
          </a:solidFill>
          <a:ln w="19050">
            <a:solidFill>
              <a:schemeClr val="lt1"/>
            </a:solidFill>
          </a:ln>
          <a:effectLst/>
        </c:spPr>
      </c:pivotFmt>
      <c:pivotFmt>
        <c:idx val="2"/>
        <c:spPr>
          <a:solidFill>
            <a:srgbClr val="EF9275"/>
          </a:solidFill>
          <a:ln w="19050">
            <a:solidFill>
              <a:schemeClr val="lt1"/>
            </a:solidFill>
          </a:ln>
          <a:effectLst/>
        </c:spPr>
      </c:pivotFmt>
      <c:pivotFmt>
        <c:idx val="3"/>
        <c:spPr>
          <a:solidFill>
            <a:srgbClr val="92D050"/>
          </a:solidFill>
          <a:ln w="19050">
            <a:solidFill>
              <a:schemeClr val="lt1"/>
            </a:solidFill>
          </a:ln>
          <a:effectLst/>
        </c:spPr>
      </c:pivotFmt>
      <c:pivotFmt>
        <c:idx val="4"/>
        <c:spPr>
          <a:solidFill>
            <a:srgbClr val="F3F35F"/>
          </a:solidFill>
          <a:ln w="19050">
            <a:solidFill>
              <a:schemeClr val="lt1"/>
            </a:solidFill>
          </a:ln>
          <a:effectLst/>
        </c:spPr>
      </c:pivotFmt>
      <c:pivotFmt>
        <c:idx val="5"/>
        <c:spPr>
          <a:solidFill>
            <a:srgbClr val="00D05E"/>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5B5B"/>
          </a:solidFill>
          <a:ln w="19050">
            <a:solidFill>
              <a:schemeClr val="lt1"/>
            </a:solidFill>
          </a:ln>
          <a:effectLst/>
        </c:spPr>
      </c:pivotFmt>
      <c:pivotFmt>
        <c:idx val="8"/>
        <c:spPr>
          <a:solidFill>
            <a:srgbClr val="EF9275"/>
          </a:solidFill>
          <a:ln w="19050">
            <a:solidFill>
              <a:schemeClr val="lt1"/>
            </a:solidFill>
          </a:ln>
          <a:effectLst/>
        </c:spPr>
      </c:pivotFmt>
      <c:pivotFmt>
        <c:idx val="9"/>
        <c:spPr>
          <a:solidFill>
            <a:srgbClr val="F3F35F"/>
          </a:solidFill>
          <a:ln w="19050">
            <a:solidFill>
              <a:schemeClr val="lt1"/>
            </a:solidFill>
          </a:ln>
          <a:effectLst/>
        </c:spPr>
      </c:pivotFmt>
      <c:pivotFmt>
        <c:idx val="10"/>
        <c:spPr>
          <a:solidFill>
            <a:srgbClr val="92D050"/>
          </a:solidFill>
          <a:ln w="19050">
            <a:solidFill>
              <a:schemeClr val="lt1"/>
            </a:solidFill>
          </a:ln>
          <a:effectLst/>
        </c:spPr>
      </c:pivotFmt>
      <c:pivotFmt>
        <c:idx val="11"/>
        <c:spPr>
          <a:solidFill>
            <a:srgbClr val="00D05E"/>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5B5B"/>
          </a:solidFill>
          <a:ln w="19050">
            <a:solidFill>
              <a:schemeClr val="lt1"/>
            </a:solidFill>
          </a:ln>
          <a:effectLst/>
        </c:spPr>
      </c:pivotFmt>
      <c:pivotFmt>
        <c:idx val="14"/>
        <c:spPr>
          <a:solidFill>
            <a:srgbClr val="EF9275"/>
          </a:solidFill>
          <a:ln w="19050">
            <a:solidFill>
              <a:schemeClr val="lt1"/>
            </a:solidFill>
          </a:ln>
          <a:effectLst/>
        </c:spPr>
      </c:pivotFmt>
      <c:pivotFmt>
        <c:idx val="15"/>
        <c:spPr>
          <a:solidFill>
            <a:srgbClr val="F3F35F"/>
          </a:solidFill>
          <a:ln w="19050">
            <a:solidFill>
              <a:schemeClr val="lt1"/>
            </a:solidFill>
          </a:ln>
          <a:effectLst/>
        </c:spPr>
      </c:pivotFmt>
      <c:pivotFmt>
        <c:idx val="16"/>
        <c:spPr>
          <a:solidFill>
            <a:srgbClr val="92D050"/>
          </a:solidFill>
          <a:ln w="19050">
            <a:solidFill>
              <a:schemeClr val="lt1"/>
            </a:solidFill>
          </a:ln>
          <a:effectLst/>
        </c:spPr>
      </c:pivotFmt>
      <c:pivotFmt>
        <c:idx val="17"/>
        <c:spPr>
          <a:solidFill>
            <a:srgbClr val="00D05E"/>
          </a:solidFill>
          <a:ln w="19050">
            <a:solidFill>
              <a:schemeClr val="lt1"/>
            </a:solidFill>
          </a:ln>
          <a:effectLst/>
        </c:spPr>
      </c:pivotFmt>
    </c:pivotFmts>
    <c:plotArea>
      <c:layout/>
      <c:pieChart>
        <c:varyColors val="1"/>
        <c:ser>
          <c:idx val="0"/>
          <c:order val="0"/>
          <c:tx>
            <c:strRef>
              <c:f>Visualization!$K$20</c:f>
              <c:strCache>
                <c:ptCount val="1"/>
                <c:pt idx="0">
                  <c:v>Total</c:v>
                </c:pt>
              </c:strCache>
            </c:strRef>
          </c:tx>
          <c:dPt>
            <c:idx val="0"/>
            <c:bubble3D val="0"/>
            <c:spPr>
              <a:solidFill>
                <a:srgbClr val="FF5B5B"/>
              </a:solidFill>
              <a:ln w="19050">
                <a:solidFill>
                  <a:schemeClr val="lt1"/>
                </a:solidFill>
              </a:ln>
              <a:effectLst/>
            </c:spPr>
          </c:dPt>
          <c:dPt>
            <c:idx val="1"/>
            <c:bubble3D val="0"/>
            <c:spPr>
              <a:solidFill>
                <a:srgbClr val="EF9275"/>
              </a:solidFill>
              <a:ln w="19050">
                <a:solidFill>
                  <a:schemeClr val="lt1"/>
                </a:solidFill>
              </a:ln>
              <a:effectLst/>
            </c:spPr>
          </c:dPt>
          <c:dPt>
            <c:idx val="2"/>
            <c:bubble3D val="0"/>
            <c:spPr>
              <a:solidFill>
                <a:srgbClr val="F3F35F"/>
              </a:solidFill>
              <a:ln w="19050">
                <a:solidFill>
                  <a:schemeClr val="lt1"/>
                </a:solidFill>
              </a:ln>
              <a:effectLst/>
            </c:spPr>
          </c:dPt>
          <c:dPt>
            <c:idx val="3"/>
            <c:bubble3D val="0"/>
            <c:spPr>
              <a:solidFill>
                <a:srgbClr val="92D050"/>
              </a:solidFill>
              <a:ln w="19050">
                <a:solidFill>
                  <a:schemeClr val="lt1"/>
                </a:solidFill>
              </a:ln>
              <a:effectLst/>
            </c:spPr>
          </c:dPt>
          <c:dPt>
            <c:idx val="4"/>
            <c:bubble3D val="0"/>
            <c:spPr>
              <a:solidFill>
                <a:srgbClr val="00D05E"/>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Visualization!$J$21:$J$26</c:f>
              <c:strCache>
                <c:ptCount val="5"/>
                <c:pt idx="0">
                  <c:v>0-60%</c:v>
                </c:pt>
                <c:pt idx="1">
                  <c:v>61-70%</c:v>
                </c:pt>
                <c:pt idx="2">
                  <c:v>71-80%</c:v>
                </c:pt>
                <c:pt idx="3">
                  <c:v>81-90%</c:v>
                </c:pt>
                <c:pt idx="4">
                  <c:v>91-100%</c:v>
                </c:pt>
              </c:strCache>
            </c:strRef>
          </c:cat>
          <c:val>
            <c:numRef>
              <c:f>Visualization!$K$21:$K$26</c:f>
              <c:numCache>
                <c:formatCode>0.0</c:formatCode>
                <c:ptCount val="5"/>
                <c:pt idx="0">
                  <c:v>67.55714285714285</c:v>
                </c:pt>
                <c:pt idx="1">
                  <c:v>68.092857142857142</c:v>
                </c:pt>
                <c:pt idx="2">
                  <c:v>68.246428571428567</c:v>
                </c:pt>
                <c:pt idx="3">
                  <c:v>69.422979797979792</c:v>
                </c:pt>
                <c:pt idx="4">
                  <c:v>71.536363636363632</c:v>
                </c:pt>
              </c:numCache>
            </c:numRef>
          </c:val>
          <c:extLst>
            <c:ext xmlns:c16="http://schemas.microsoft.com/office/drawing/2014/chart" uri="{C3380CC4-5D6E-409C-BE32-E72D297353CC}">
              <c16:uniqueId val="{0000000D-1995-4B62-8D50-125B8B31E65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Visualization!A1"/><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Dashboard!A1"/><Relationship Id="rId5" Type="http://schemas.openxmlformats.org/officeDocument/2006/relationships/hyperlink" Target="#Summarize!A1"/><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hyperlink" Target="#Visualization!A1"/><Relationship Id="rId5" Type="http://schemas.openxmlformats.org/officeDocument/2006/relationships/hyperlink" Target="#Summarize!A1"/><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9</xdr:col>
      <xdr:colOff>717550</xdr:colOff>
      <xdr:row>0</xdr:row>
      <xdr:rowOff>57151</xdr:rowOff>
    </xdr:from>
    <xdr:to>
      <xdr:col>10</xdr:col>
      <xdr:colOff>388937</xdr:colOff>
      <xdr:row>1</xdr:row>
      <xdr:rowOff>132023</xdr:rowOff>
    </xdr:to>
    <xdr:sp macro="" textlink="">
      <xdr:nvSpPr>
        <xdr:cNvPr id="12" name="TextBox 11">
          <a:hlinkClick xmlns:r="http://schemas.openxmlformats.org/officeDocument/2006/relationships" r:id="rId1"/>
          <a:extLst>
            <a:ext uri="{FF2B5EF4-FFF2-40B4-BE49-F238E27FC236}">
              <a16:creationId xmlns:a16="http://schemas.microsoft.com/office/drawing/2014/main" id="{FCF4D816-75C5-49AB-BC79-28ACA8EBCDEF}"/>
            </a:ext>
          </a:extLst>
        </xdr:cNvPr>
        <xdr:cNvSpPr txBox="1"/>
      </xdr:nvSpPr>
      <xdr:spPr>
        <a:xfrm>
          <a:off x="6692900" y="57151"/>
          <a:ext cx="935037" cy="259022"/>
        </a:xfrm>
        <a:prstGeom prst="rect">
          <a:avLst/>
        </a:prstGeom>
        <a:solidFill>
          <a:schemeClr val="bg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00D05E"/>
              </a:solidFill>
            </a:rPr>
            <a:t>Dashboard</a:t>
          </a:r>
          <a:endParaRPr lang="en-US" sz="1100">
            <a:solidFill>
              <a:srgbClr val="00D05E"/>
            </a:solidFill>
          </a:endParaRPr>
        </a:p>
      </xdr:txBody>
    </xdr:sp>
    <xdr:clientData/>
  </xdr:twoCellAnchor>
  <xdr:twoCellAnchor>
    <xdr:from>
      <xdr:col>10</xdr:col>
      <xdr:colOff>550863</xdr:colOff>
      <xdr:row>0</xdr:row>
      <xdr:rowOff>57151</xdr:rowOff>
    </xdr:from>
    <xdr:to>
      <xdr:col>11</xdr:col>
      <xdr:colOff>520700</xdr:colOff>
      <xdr:row>1</xdr:row>
      <xdr:rowOff>120651</xdr:rowOff>
    </xdr:to>
    <xdr:sp macro="" textlink="">
      <xdr:nvSpPr>
        <xdr:cNvPr id="13" name="TextBox 12">
          <a:hlinkClick xmlns:r="http://schemas.openxmlformats.org/officeDocument/2006/relationships" r:id="rId2"/>
          <a:extLst>
            <a:ext uri="{FF2B5EF4-FFF2-40B4-BE49-F238E27FC236}">
              <a16:creationId xmlns:a16="http://schemas.microsoft.com/office/drawing/2014/main" id="{67B376B6-54D4-490C-B96B-5AFAF5139580}"/>
            </a:ext>
          </a:extLst>
        </xdr:cNvPr>
        <xdr:cNvSpPr txBox="1"/>
      </xdr:nvSpPr>
      <xdr:spPr>
        <a:xfrm>
          <a:off x="7789863" y="57151"/>
          <a:ext cx="935037" cy="247650"/>
        </a:xfrm>
        <a:prstGeom prst="rect">
          <a:avLst/>
        </a:prstGeom>
        <a:solidFill>
          <a:schemeClr val="bg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0D05E"/>
              </a:solidFill>
            </a:rPr>
            <a:t>Visualization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793750</xdr:colOff>
      <xdr:row>4</xdr:row>
      <xdr:rowOff>171450</xdr:rowOff>
    </xdr:from>
    <xdr:to>
      <xdr:col>8</xdr:col>
      <xdr:colOff>220870</xdr:colOff>
      <xdr:row>16</xdr:row>
      <xdr:rowOff>101600</xdr:rowOff>
    </xdr:to>
    <xdr:graphicFrame macro="">
      <xdr:nvGraphicFramePr>
        <xdr:cNvPr id="3" name="Chart 2">
          <a:extLst>
            <a:ext uri="{FF2B5EF4-FFF2-40B4-BE49-F238E27FC236}">
              <a16:creationId xmlns:a16="http://schemas.microsoft.com/office/drawing/2014/main" id="{E4816DA8-3228-83E9-08BC-8EB63ABC4F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258279</xdr:colOff>
      <xdr:row>5</xdr:row>
      <xdr:rowOff>73163</xdr:rowOff>
    </xdr:from>
    <xdr:to>
      <xdr:col>14</xdr:col>
      <xdr:colOff>138043</xdr:colOff>
      <xdr:row>16</xdr:row>
      <xdr:rowOff>162063</xdr:rowOff>
    </xdr:to>
    <xdr:graphicFrame macro="">
      <xdr:nvGraphicFramePr>
        <xdr:cNvPr id="4" name="Chart 3">
          <a:extLst>
            <a:ext uri="{FF2B5EF4-FFF2-40B4-BE49-F238E27FC236}">
              <a16:creationId xmlns:a16="http://schemas.microsoft.com/office/drawing/2014/main" id="{F64031D8-6387-CE0F-9F36-7B2550976C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773043</xdr:colOff>
      <xdr:row>16</xdr:row>
      <xdr:rowOff>119270</xdr:rowOff>
    </xdr:from>
    <xdr:to>
      <xdr:col>8</xdr:col>
      <xdr:colOff>207479</xdr:colOff>
      <xdr:row>28</xdr:row>
      <xdr:rowOff>106570</xdr:rowOff>
    </xdr:to>
    <xdr:graphicFrame macro="">
      <xdr:nvGraphicFramePr>
        <xdr:cNvPr id="5" name="Chart 4">
          <a:extLst>
            <a:ext uri="{FF2B5EF4-FFF2-40B4-BE49-F238E27FC236}">
              <a16:creationId xmlns:a16="http://schemas.microsoft.com/office/drawing/2014/main" id="{3C8CC4B7-5F0C-2C6A-659F-E2D11C0D21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204165</xdr:colOff>
      <xdr:row>17</xdr:row>
      <xdr:rowOff>19603</xdr:rowOff>
    </xdr:from>
    <xdr:to>
      <xdr:col>14</xdr:col>
      <xdr:colOff>144946</xdr:colOff>
      <xdr:row>28</xdr:row>
      <xdr:rowOff>174212</xdr:rowOff>
    </xdr:to>
    <xdr:graphicFrame macro="">
      <xdr:nvGraphicFramePr>
        <xdr:cNvPr id="6" name="Chart 5">
          <a:extLst>
            <a:ext uri="{FF2B5EF4-FFF2-40B4-BE49-F238E27FC236}">
              <a16:creationId xmlns:a16="http://schemas.microsoft.com/office/drawing/2014/main" id="{549A46E3-2089-D679-C31E-CFD951BC1E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667909</xdr:colOff>
      <xdr:row>1</xdr:row>
      <xdr:rowOff>44414</xdr:rowOff>
    </xdr:from>
    <xdr:to>
      <xdr:col>11</xdr:col>
      <xdr:colOff>567663</xdr:colOff>
      <xdr:row>3</xdr:row>
      <xdr:rowOff>1783</xdr:rowOff>
    </xdr:to>
    <xdr:sp macro="" textlink="">
      <xdr:nvSpPr>
        <xdr:cNvPr id="9" name="TextBox 8">
          <a:hlinkClick xmlns:r="http://schemas.openxmlformats.org/officeDocument/2006/relationships" r:id="rId5"/>
          <a:extLst>
            <a:ext uri="{FF2B5EF4-FFF2-40B4-BE49-F238E27FC236}">
              <a16:creationId xmlns:a16="http://schemas.microsoft.com/office/drawing/2014/main" id="{810ECE89-E14C-4042-816C-754EF4CECD1C}"/>
            </a:ext>
          </a:extLst>
        </xdr:cNvPr>
        <xdr:cNvSpPr txBox="1"/>
      </xdr:nvSpPr>
      <xdr:spPr>
        <a:xfrm>
          <a:off x="9478534" y="226977"/>
          <a:ext cx="899879" cy="322494"/>
        </a:xfrm>
        <a:prstGeom prst="rect">
          <a:avLst/>
        </a:prstGeom>
        <a:solidFill>
          <a:schemeClr val="bg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00D05E"/>
              </a:solidFill>
            </a:rPr>
            <a:t>Summarize</a:t>
          </a:r>
          <a:endParaRPr lang="en-US" sz="1100">
            <a:solidFill>
              <a:srgbClr val="00D05E"/>
            </a:solidFill>
          </a:endParaRPr>
        </a:p>
      </xdr:txBody>
    </xdr:sp>
    <xdr:clientData/>
  </xdr:twoCellAnchor>
  <xdr:twoCellAnchor>
    <xdr:from>
      <xdr:col>12</xdr:col>
      <xdr:colOff>156501</xdr:colOff>
      <xdr:row>1</xdr:row>
      <xdr:rowOff>44414</xdr:rowOff>
    </xdr:from>
    <xdr:to>
      <xdr:col>13</xdr:col>
      <xdr:colOff>448227</xdr:colOff>
      <xdr:row>2</xdr:row>
      <xdr:rowOff>170058</xdr:rowOff>
    </xdr:to>
    <xdr:sp macro="" textlink="">
      <xdr:nvSpPr>
        <xdr:cNvPr id="10" name="TextBox 9">
          <a:hlinkClick xmlns:r="http://schemas.openxmlformats.org/officeDocument/2006/relationships" r:id="rId6"/>
          <a:extLst>
            <a:ext uri="{FF2B5EF4-FFF2-40B4-BE49-F238E27FC236}">
              <a16:creationId xmlns:a16="http://schemas.microsoft.com/office/drawing/2014/main" id="{F176DFF7-BDE5-43D8-90FF-D48FF29819CD}"/>
            </a:ext>
          </a:extLst>
        </xdr:cNvPr>
        <xdr:cNvSpPr txBox="1"/>
      </xdr:nvSpPr>
      <xdr:spPr>
        <a:xfrm>
          <a:off x="10578439" y="226977"/>
          <a:ext cx="902913" cy="308206"/>
        </a:xfrm>
        <a:prstGeom prst="rect">
          <a:avLst/>
        </a:prstGeom>
        <a:solidFill>
          <a:schemeClr val="bg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0D05E"/>
              </a:solidFill>
            </a:rPr>
            <a:t>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11</xdr:row>
      <xdr:rowOff>0</xdr:rowOff>
    </xdr:from>
    <xdr:to>
      <xdr:col>5</xdr:col>
      <xdr:colOff>412074</xdr:colOff>
      <xdr:row>20</xdr:row>
      <xdr:rowOff>141862</xdr:rowOff>
    </xdr:to>
    <xdr:graphicFrame macro="">
      <xdr:nvGraphicFramePr>
        <xdr:cNvPr id="3" name="Chart 2">
          <a:extLst>
            <a:ext uri="{FF2B5EF4-FFF2-40B4-BE49-F238E27FC236}">
              <a16:creationId xmlns:a16="http://schemas.microsoft.com/office/drawing/2014/main" id="{772A5529-12B8-44CC-B111-21C6422389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60796</xdr:colOff>
      <xdr:row>10</xdr:row>
      <xdr:rowOff>168883</xdr:rowOff>
    </xdr:from>
    <xdr:to>
      <xdr:col>11</xdr:col>
      <xdr:colOff>249945</xdr:colOff>
      <xdr:row>20</xdr:row>
      <xdr:rowOff>121596</xdr:rowOff>
    </xdr:to>
    <xdr:graphicFrame macro="">
      <xdr:nvGraphicFramePr>
        <xdr:cNvPr id="4" name="Chart 3">
          <a:extLst>
            <a:ext uri="{FF2B5EF4-FFF2-40B4-BE49-F238E27FC236}">
              <a16:creationId xmlns:a16="http://schemas.microsoft.com/office/drawing/2014/main" id="{D8CDD8B1-0D2A-4F58-897D-B9DABB6DCD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478831</xdr:colOff>
      <xdr:row>11</xdr:row>
      <xdr:rowOff>136071</xdr:rowOff>
    </xdr:from>
    <xdr:to>
      <xdr:col>21</xdr:col>
      <xdr:colOff>0</xdr:colOff>
      <xdr:row>20</xdr:row>
      <xdr:rowOff>241905</xdr:rowOff>
    </xdr:to>
    <xdr:graphicFrame macro="">
      <xdr:nvGraphicFramePr>
        <xdr:cNvPr id="7" name="Chart 6">
          <a:extLst>
            <a:ext uri="{FF2B5EF4-FFF2-40B4-BE49-F238E27FC236}">
              <a16:creationId xmlns:a16="http://schemas.microsoft.com/office/drawing/2014/main" id="{059F0878-227D-4762-95DD-F74348269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257023</xdr:colOff>
      <xdr:row>0</xdr:row>
      <xdr:rowOff>0</xdr:rowOff>
    </xdr:from>
    <xdr:to>
      <xdr:col>20</xdr:col>
      <xdr:colOff>332619</xdr:colOff>
      <xdr:row>11</xdr:row>
      <xdr:rowOff>30237</xdr:rowOff>
    </xdr:to>
    <xdr:graphicFrame macro="">
      <xdr:nvGraphicFramePr>
        <xdr:cNvPr id="8" name="Chart 7">
          <a:extLst>
            <a:ext uri="{FF2B5EF4-FFF2-40B4-BE49-F238E27FC236}">
              <a16:creationId xmlns:a16="http://schemas.microsoft.com/office/drawing/2014/main" id="{75FD6945-6CD3-481B-913A-7CBE55880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37798</xdr:colOff>
      <xdr:row>21</xdr:row>
      <xdr:rowOff>30236</xdr:rowOff>
    </xdr:from>
    <xdr:to>
      <xdr:col>3</xdr:col>
      <xdr:colOff>349674</xdr:colOff>
      <xdr:row>24</xdr:row>
      <xdr:rowOff>112888</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505F618F-7712-4E18-A8EF-94346014A9F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7798" y="4044847"/>
              <a:ext cx="2132209" cy="6329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526252</xdr:colOff>
      <xdr:row>20</xdr:row>
      <xdr:rowOff>295457</xdr:rowOff>
    </xdr:from>
    <xdr:to>
      <xdr:col>6</xdr:col>
      <xdr:colOff>515506</xdr:colOff>
      <xdr:row>26</xdr:row>
      <xdr:rowOff>70555</xdr:rowOff>
    </xdr:to>
    <mc:AlternateContent xmlns:mc="http://schemas.openxmlformats.org/markup-compatibility/2006">
      <mc:Choice xmlns:a14="http://schemas.microsoft.com/office/drawing/2010/main" Requires="a14">
        <xdr:graphicFrame macro="">
          <xdr:nvGraphicFramePr>
            <xdr:cNvPr id="10" name="Study Hour">
              <a:extLst>
                <a:ext uri="{FF2B5EF4-FFF2-40B4-BE49-F238E27FC236}">
                  <a16:creationId xmlns:a16="http://schemas.microsoft.com/office/drawing/2014/main" id="{82A962BC-F75D-4041-88C7-A950E660742D}"/>
                </a:ext>
              </a:extLst>
            </xdr:cNvPr>
            <xdr:cNvGraphicFramePr/>
          </xdr:nvGraphicFramePr>
          <xdr:xfrm>
            <a:off x="0" y="0"/>
            <a:ext cx="0" cy="0"/>
          </xdr:xfrm>
          <a:graphic>
            <a:graphicData uri="http://schemas.microsoft.com/office/drawing/2010/slicer">
              <sle:slicer xmlns:sle="http://schemas.microsoft.com/office/drawing/2010/slicer" name="Study Hour"/>
            </a:graphicData>
          </a:graphic>
        </xdr:graphicFrame>
      </mc:Choice>
      <mc:Fallback>
        <xdr:sp macro="" textlink="">
          <xdr:nvSpPr>
            <xdr:cNvPr id="0" name=""/>
            <xdr:cNvSpPr>
              <a:spLocks noTextEdit="1"/>
            </xdr:cNvSpPr>
          </xdr:nvSpPr>
          <xdr:spPr>
            <a:xfrm>
              <a:off x="2346585" y="4013735"/>
              <a:ext cx="1936588" cy="9886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545449</xdr:colOff>
      <xdr:row>21</xdr:row>
      <xdr:rowOff>10171</xdr:rowOff>
    </xdr:from>
    <xdr:to>
      <xdr:col>13</xdr:col>
      <xdr:colOff>23812</xdr:colOff>
      <xdr:row>24</xdr:row>
      <xdr:rowOff>141112</xdr:rowOff>
    </xdr:to>
    <mc:AlternateContent xmlns:mc="http://schemas.openxmlformats.org/markup-compatibility/2006">
      <mc:Choice xmlns:a14="http://schemas.microsoft.com/office/drawing/2010/main" Requires="a14">
        <xdr:graphicFrame macro="">
          <xdr:nvGraphicFramePr>
            <xdr:cNvPr id="11" name="Social Media">
              <a:extLst>
                <a:ext uri="{FF2B5EF4-FFF2-40B4-BE49-F238E27FC236}">
                  <a16:creationId xmlns:a16="http://schemas.microsoft.com/office/drawing/2014/main" id="{7C4C7777-3657-4A17-9C15-1F6417481798}"/>
                </a:ext>
              </a:extLst>
            </xdr:cNvPr>
            <xdr:cNvGraphicFramePr/>
          </xdr:nvGraphicFramePr>
          <xdr:xfrm>
            <a:off x="0" y="0"/>
            <a:ext cx="0" cy="0"/>
          </xdr:xfrm>
          <a:graphic>
            <a:graphicData uri="http://schemas.microsoft.com/office/drawing/2010/slicer">
              <sle:slicer xmlns:sle="http://schemas.microsoft.com/office/drawing/2010/slicer" name="Social Media"/>
            </a:graphicData>
          </a:graphic>
        </xdr:graphicFrame>
      </mc:Choice>
      <mc:Fallback>
        <xdr:sp macro="" textlink="">
          <xdr:nvSpPr>
            <xdr:cNvPr id="0" name=""/>
            <xdr:cNvSpPr>
              <a:spLocks noTextEdit="1"/>
            </xdr:cNvSpPr>
          </xdr:nvSpPr>
          <xdr:spPr>
            <a:xfrm>
              <a:off x="4313116" y="4024782"/>
              <a:ext cx="4233807" cy="681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158600</xdr:colOff>
      <xdr:row>21</xdr:row>
      <xdr:rowOff>10569</xdr:rowOff>
    </xdr:from>
    <xdr:to>
      <xdr:col>20</xdr:col>
      <xdr:colOff>276035</xdr:colOff>
      <xdr:row>24</xdr:row>
      <xdr:rowOff>134056</xdr:rowOff>
    </xdr:to>
    <mc:AlternateContent xmlns:mc="http://schemas.openxmlformats.org/markup-compatibility/2006">
      <mc:Choice xmlns:a14="http://schemas.microsoft.com/office/drawing/2010/main" Requires="a14">
        <xdr:graphicFrame macro="">
          <xdr:nvGraphicFramePr>
            <xdr:cNvPr id="12" name="Attendance">
              <a:extLst>
                <a:ext uri="{FF2B5EF4-FFF2-40B4-BE49-F238E27FC236}">
                  <a16:creationId xmlns:a16="http://schemas.microsoft.com/office/drawing/2014/main" id="{F0C213FE-781C-49F5-AA73-B890C5A75305}"/>
                </a:ext>
              </a:extLst>
            </xdr:cNvPr>
            <xdr:cNvGraphicFramePr/>
          </xdr:nvGraphicFramePr>
          <xdr:xfrm>
            <a:off x="0" y="0"/>
            <a:ext cx="0" cy="0"/>
          </xdr:xfrm>
          <a:graphic>
            <a:graphicData uri="http://schemas.microsoft.com/office/drawing/2010/slicer">
              <sle:slicer xmlns:sle="http://schemas.microsoft.com/office/drawing/2010/slicer" name="Attendance"/>
            </a:graphicData>
          </a:graphic>
        </xdr:graphicFrame>
      </mc:Choice>
      <mc:Fallback>
        <xdr:sp macro="" textlink="">
          <xdr:nvSpPr>
            <xdr:cNvPr id="0" name=""/>
            <xdr:cNvSpPr>
              <a:spLocks noTextEdit="1"/>
            </xdr:cNvSpPr>
          </xdr:nvSpPr>
          <xdr:spPr>
            <a:xfrm>
              <a:off x="8681711" y="4025180"/>
              <a:ext cx="4364880" cy="673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500063</xdr:colOff>
      <xdr:row>0</xdr:row>
      <xdr:rowOff>119063</xdr:rowOff>
    </xdr:from>
    <xdr:to>
      <xdr:col>10</xdr:col>
      <xdr:colOff>785812</xdr:colOff>
      <xdr:row>2</xdr:row>
      <xdr:rowOff>79375</xdr:rowOff>
    </xdr:to>
    <xdr:sp macro="" textlink="">
      <xdr:nvSpPr>
        <xdr:cNvPr id="13" name="TextBox 12">
          <a:hlinkClick xmlns:r="http://schemas.openxmlformats.org/officeDocument/2006/relationships" r:id="rId5"/>
          <a:extLst>
            <a:ext uri="{FF2B5EF4-FFF2-40B4-BE49-F238E27FC236}">
              <a16:creationId xmlns:a16="http://schemas.microsoft.com/office/drawing/2014/main" id="{A74A813D-6079-74DB-8C4A-EAA277CA8ED1}"/>
            </a:ext>
          </a:extLst>
        </xdr:cNvPr>
        <xdr:cNvSpPr txBox="1"/>
      </xdr:nvSpPr>
      <xdr:spPr>
        <a:xfrm>
          <a:off x="6357938" y="119063"/>
          <a:ext cx="896937" cy="325437"/>
        </a:xfrm>
        <a:prstGeom prst="rect">
          <a:avLst/>
        </a:prstGeom>
        <a:solidFill>
          <a:schemeClr val="bg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00D05E"/>
              </a:solidFill>
            </a:rPr>
            <a:t>Summarize</a:t>
          </a:r>
          <a:endParaRPr lang="en-US" sz="1100">
            <a:solidFill>
              <a:srgbClr val="00D05E"/>
            </a:solidFill>
          </a:endParaRPr>
        </a:p>
      </xdr:txBody>
    </xdr:sp>
    <xdr:clientData/>
  </xdr:twoCellAnchor>
  <xdr:twoCellAnchor>
    <xdr:from>
      <xdr:col>11</xdr:col>
      <xdr:colOff>112713</xdr:colOff>
      <xdr:row>0</xdr:row>
      <xdr:rowOff>119063</xdr:rowOff>
    </xdr:from>
    <xdr:to>
      <xdr:col>12</xdr:col>
      <xdr:colOff>398463</xdr:colOff>
      <xdr:row>2</xdr:row>
      <xdr:rowOff>65087</xdr:rowOff>
    </xdr:to>
    <xdr:sp macro="" textlink="">
      <xdr:nvSpPr>
        <xdr:cNvPr id="14" name="TextBox 13">
          <a:hlinkClick xmlns:r="http://schemas.openxmlformats.org/officeDocument/2006/relationships" r:id="rId6"/>
          <a:extLst>
            <a:ext uri="{FF2B5EF4-FFF2-40B4-BE49-F238E27FC236}">
              <a16:creationId xmlns:a16="http://schemas.microsoft.com/office/drawing/2014/main" id="{6736F35F-67BE-D369-9B27-72048C58BF79}"/>
            </a:ext>
          </a:extLst>
        </xdr:cNvPr>
        <xdr:cNvSpPr txBox="1"/>
      </xdr:nvSpPr>
      <xdr:spPr>
        <a:xfrm>
          <a:off x="7454901" y="119063"/>
          <a:ext cx="896937" cy="311149"/>
        </a:xfrm>
        <a:prstGeom prst="rect">
          <a:avLst/>
        </a:prstGeom>
        <a:solidFill>
          <a:schemeClr val="bg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0D05E"/>
              </a:solidFill>
            </a:rPr>
            <a:t>Visualization</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 daacad" refreshedDate="46166.726644560185" backgroundQuery="1" createdVersion="8" refreshedVersion="8" minRefreshableVersion="3" recordCount="0" supportSubquery="1" supportAdvancedDrill="1" xr:uid="{B7AAB92E-3705-4C5D-A703-53E660D975FC}">
  <cacheSource type="external" connectionId="2"/>
  <cacheFields count="6">
    <cacheField name="[student_habits_performance].[gender].[gender]" caption="gender" numFmtId="0" hierarchy="2" level="1">
      <sharedItems count="3">
        <s v="Female"/>
        <s v="Male"/>
        <s v="Other"/>
      </sharedItems>
    </cacheField>
    <cacheField name="[Measures].[Average of exam_score]" caption="Average of exam_score" numFmtId="0" hierarchy="20" level="32767"/>
    <cacheField name="[Measures].[Count of student_id]" caption="Count of student_id" numFmtId="0" hierarchy="21" level="32767"/>
    <cacheField name="[student_habits_performance].[Study Hour].[Study Hour]" caption="Study Hour" numFmtId="0" hierarchy="16" level="1">
      <sharedItems containsSemiMixedTypes="0" containsNonDate="0" containsString="0"/>
    </cacheField>
    <cacheField name="[student_habits_performance].[Social Media].[Social Media]" caption="Social Media" numFmtId="0" hierarchy="17" level="1">
      <sharedItems containsSemiMixedTypes="0" containsNonDate="0" containsString="0"/>
    </cacheField>
    <cacheField name="[student_habits_performance].[Attendance].[Attendance]" caption="Attendance" numFmtId="0" hierarchy="18" level="1">
      <sharedItems containsSemiMixedTypes="0" containsNonDate="0" containsString="0"/>
    </cacheField>
  </cacheFields>
  <cacheHierarchies count="28">
    <cacheHierarchy uniqueName="[student_habits_performance].[student_id]" caption="student_id" attribute="1" defaultMemberUniqueName="[student_habits_performance].[student_id].[All]" allUniqueName="[student_habits_performance].[student_id].[All]" dimensionUniqueName="[student_habits_performance]" displayFolder="" count="0" memberValueDatatype="130" unbalanced="0"/>
    <cacheHierarchy uniqueName="[student_habits_performance].[age]" caption="age" attribute="1" defaultMemberUniqueName="[student_habits_performance].[age].[All]" allUniqueName="[student_habits_performance].[age].[All]" dimensionUniqueName="[student_habits_performance]" displayFolder="" count="0" memberValueDatatype="20" unbalanced="0"/>
    <cacheHierarchy uniqueName="[student_habits_performance].[gender]" caption="gender" attribute="1" defaultMemberUniqueName="[student_habits_performance].[gender].[All]" allUniqueName="[student_habits_performance].[gender].[All]" dimensionUniqueName="[student_habits_performance]" displayFolder="" count="2" memberValueDatatype="130" unbalanced="0">
      <fieldsUsage count="2">
        <fieldUsage x="-1"/>
        <fieldUsage x="0"/>
      </fieldsUsage>
    </cacheHierarchy>
    <cacheHierarchy uniqueName="[student_habits_performance].[study_hours_per_day]" caption="study_hours_per_day" attribute="1" defaultMemberUniqueName="[student_habits_performance].[study_hours_per_day].[All]" allUniqueName="[student_habits_performance].[study_hours_per_day].[All]" dimensionUniqueName="[student_habits_performance]" displayFolder="" count="0" memberValueDatatype="5" unbalanced="0"/>
    <cacheHierarchy uniqueName="[student_habits_performance].[social_media_hours]" caption="social_media_hours" attribute="1" defaultMemberUniqueName="[student_habits_performance].[social_media_hours].[All]" allUniqueName="[student_habits_performance].[social_media_hours].[All]" dimensionUniqueName="[student_habits_performance]" displayFolder="" count="0" memberValueDatatype="5" unbalanced="0"/>
    <cacheHierarchy uniqueName="[student_habits_performance].[netflix_hours]" caption="netflix_hours" attribute="1" defaultMemberUniqueName="[student_habits_performance].[netflix_hours].[All]" allUniqueName="[student_habits_performance].[netflix_hours].[All]" dimensionUniqueName="[student_habits_performance]" displayFolder="" count="0" memberValueDatatype="5" unbalanced="0"/>
    <cacheHierarchy uniqueName="[student_habits_performance].[part_time_job]" caption="part_time_job" attribute="1" defaultMemberUniqueName="[student_habits_performance].[part_time_job].[All]" allUniqueName="[student_habits_performance].[part_time_job].[All]" dimensionUniqueName="[student_habits_performance]" displayFolder="" count="0" memberValueDatatype="130" unbalanced="0"/>
    <cacheHierarchy uniqueName="[student_habits_performance].[attendance_percentage]" caption="attendance_percentage" attribute="1" defaultMemberUniqueName="[student_habits_performance].[attendance_percentage].[All]" allUniqueName="[student_habits_performance].[attendance_percentage].[All]" dimensionUniqueName="[student_habits_performance]" displayFolder="" count="0" memberValueDatatype="5" unbalanced="0"/>
    <cacheHierarchy uniqueName="[student_habits_performance].[sleep_hours]" caption="sleep_hours" attribute="1" defaultMemberUniqueName="[student_habits_performance].[sleep_hours].[All]" allUniqueName="[student_habits_performance].[sleep_hours].[All]" dimensionUniqueName="[student_habits_performance]" displayFolder="" count="0" memberValueDatatype="5" unbalanced="0"/>
    <cacheHierarchy uniqueName="[student_habits_performance].[diet_quality]" caption="diet_quality" attribute="1" defaultMemberUniqueName="[student_habits_performance].[diet_quality].[All]" allUniqueName="[student_habits_performance].[diet_quality].[All]" dimensionUniqueName="[student_habits_performance]" displayFolder="" count="0" memberValueDatatype="130" unbalanced="0"/>
    <cacheHierarchy uniqueName="[student_habits_performance].[exercise_frequency]" caption="exercise_frequency" attribute="1" defaultMemberUniqueName="[student_habits_performance].[exercise_frequency].[All]" allUniqueName="[student_habits_performance].[exercise_frequency].[All]" dimensionUniqueName="[student_habits_performance]" displayFolder="" count="0" memberValueDatatype="20" unbalanced="0"/>
    <cacheHierarchy uniqueName="[student_habits_performance].[parental_education_level]" caption="parental_education_level" attribute="1" defaultMemberUniqueName="[student_habits_performance].[parental_education_level].[All]" allUniqueName="[student_habits_performance].[parental_education_level].[All]" dimensionUniqueName="[student_habits_performance]" displayFolder="" count="0" memberValueDatatype="130" unbalanced="0"/>
    <cacheHierarchy uniqueName="[student_habits_performance].[internet_quality]" caption="internet_quality" attribute="1" defaultMemberUniqueName="[student_habits_performance].[internet_quality].[All]" allUniqueName="[student_habits_performance].[internet_quality].[All]" dimensionUniqueName="[student_habits_performance]" displayFolder="" count="0" memberValueDatatype="130" unbalanced="0"/>
    <cacheHierarchy uniqueName="[student_habits_performance].[mental_health_rating]" caption="mental_health_rating" attribute="1" defaultMemberUniqueName="[student_habits_performance].[mental_health_rating].[All]" allUniqueName="[student_habits_performance].[mental_health_rating].[All]" dimensionUniqueName="[student_habits_performance]" displayFolder="" count="0" memberValueDatatype="20" unbalanced="0"/>
    <cacheHierarchy uniqueName="[student_habits_performance].[extracurricular_participation]" caption="extracurricular_participation" attribute="1" defaultMemberUniqueName="[student_habits_performance].[extracurricular_participation].[All]" allUniqueName="[student_habits_performance].[extracurricular_participation].[All]" dimensionUniqueName="[student_habits_performance]" displayFolder="" count="0" memberValueDatatype="130" unbalanced="0"/>
    <cacheHierarchy uniqueName="[student_habits_performance].[exam_score]" caption="exam_score" attribute="1" defaultMemberUniqueName="[student_habits_performance].[exam_score].[All]" allUniqueName="[student_habits_performance].[exam_score].[All]" dimensionUniqueName="[student_habits_performance]" displayFolder="" count="0" memberValueDatatype="5" unbalanced="0"/>
    <cacheHierarchy uniqueName="[student_habits_performance].[Study Hour]" caption="Study Hour" attribute="1" defaultMemberUniqueName="[student_habits_performance].[Study Hour].[All]" allUniqueName="[student_habits_performance].[Study Hour].[All]" dimensionUniqueName="[student_habits_performance]" displayFolder="" count="2" memberValueDatatype="130" unbalanced="0">
      <fieldsUsage count="2">
        <fieldUsage x="-1"/>
        <fieldUsage x="3"/>
      </fieldsUsage>
    </cacheHierarchy>
    <cacheHierarchy uniqueName="[student_habits_performance].[Social Media]" caption="Social Media" attribute="1" defaultMemberUniqueName="[student_habits_performance].[Social Media].[All]" allUniqueName="[student_habits_performance].[Social Media].[All]" dimensionUniqueName="[student_habits_performance]" displayFolder="" count="2" memberValueDatatype="130" unbalanced="0">
      <fieldsUsage count="2">
        <fieldUsage x="-1"/>
        <fieldUsage x="4"/>
      </fieldsUsage>
    </cacheHierarchy>
    <cacheHierarchy uniqueName="[student_habits_performance].[Attendance]" caption="Attendance" attribute="1" defaultMemberUniqueName="[student_habits_performance].[Attendance].[All]" allUniqueName="[student_habits_performance].[Attendance].[All]" dimensionUniqueName="[student_habits_performance]" displayFolder="" count="2" memberValueDatatype="130" unbalanced="0">
      <fieldsUsage count="2">
        <fieldUsage x="-1"/>
        <fieldUsage x="5"/>
      </fieldsUsage>
    </cacheHierarchy>
    <cacheHierarchy uniqueName="[Measures].[Sum of exam_score]" caption="Sum of exam_score" measure="1" displayFolder="" measureGroup="student_habits_performance" count="0">
      <extLst>
        <ext xmlns:x15="http://schemas.microsoft.com/office/spreadsheetml/2010/11/main" uri="{B97F6D7D-B522-45F9-BDA1-12C45D357490}">
          <x15:cacheHierarchy aggregatedColumn="15"/>
        </ext>
      </extLst>
    </cacheHierarchy>
    <cacheHierarchy uniqueName="[Measures].[Average of exam_score]" caption="Average of exam_score" measure="1" displayFolder="" measureGroup="student_habits_performance" count="0" oneField="1">
      <fieldsUsage count="1">
        <fieldUsage x="1"/>
      </fieldsUsage>
      <extLst>
        <ext xmlns:x15="http://schemas.microsoft.com/office/spreadsheetml/2010/11/main" uri="{B97F6D7D-B522-45F9-BDA1-12C45D357490}">
          <x15:cacheHierarchy aggregatedColumn="15"/>
        </ext>
      </extLst>
    </cacheHierarchy>
    <cacheHierarchy uniqueName="[Measures].[Count of student_id]" caption="Count of student_id" measure="1" displayFolder="" measureGroup="student_habits_performance" count="0" oneField="1">
      <fieldsUsage count="1">
        <fieldUsage x="2"/>
      </fieldsUsage>
      <extLst>
        <ext xmlns:x15="http://schemas.microsoft.com/office/spreadsheetml/2010/11/main" uri="{B97F6D7D-B522-45F9-BDA1-12C45D357490}">
          <x15:cacheHierarchy aggregatedColumn="0"/>
        </ext>
      </extLst>
    </cacheHierarchy>
    <cacheHierarchy uniqueName="[Measures].[Total Students]" caption="Total Students" measure="1" displayFolder="" measureGroup="student_habits_performance" count="0"/>
    <cacheHierarchy uniqueName="[Measures].[Avg Exam Score]" caption="Avg Exam Score" measure="1" displayFolder="" measureGroup="student_habits_performance" count="0"/>
    <cacheHierarchy uniqueName="[Measures].[Avg Study Hrs/Day]" caption="Avg Study Hrs/Day" measure="1" displayFolder="" measureGroup="student_habits_performance" count="0"/>
    <cacheHierarchy uniqueName="[Measures].[Avg Attendance Rate]" caption="Avg Attendance Rate" measure="1" displayFolder="" measureGroup="student_habits_performance" count="0"/>
    <cacheHierarchy uniqueName="[Measures].[__XL_Count student_habits_performance]" caption="__XL_Count student_habits_performance" measure="1" displayFolder="" measureGroup="student_habits_performance" count="0" hidden="1"/>
    <cacheHierarchy uniqueName="[Measures].[__No measures defined]" caption="__No measures defined" measure="1" displayFolder="" count="0" hidden="1"/>
  </cacheHierarchies>
  <kpis count="0"/>
  <dimensions count="2">
    <dimension measure="1" name="Measures" uniqueName="[Measures]" caption="Measures"/>
    <dimension name="student_habits_performance" uniqueName="[student_habits_performance]" caption="student_habits_performance"/>
  </dimensions>
  <measureGroups count="1">
    <measureGroup name="student_habits_performance" caption="student_habits_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 daacad" refreshedDate="46166.726648148149" backgroundQuery="1" createdVersion="8" refreshedVersion="8" minRefreshableVersion="3" recordCount="0" supportSubquery="1" supportAdvancedDrill="1" xr:uid="{E839BE28-1D53-4F17-9557-A2ADB74B28EF}">
  <cacheSource type="external" connectionId="2"/>
  <cacheFields count="5">
    <cacheField name="[Measures].[Avg Exam Score]" caption="Avg Exam Score" numFmtId="0" hierarchy="23" level="32767"/>
    <cacheField name="[student_habits_performance].[Study Hour].[Study Hour]" caption="Study Hour" numFmtId="0" hierarchy="16" level="1">
      <sharedItems containsSemiMixedTypes="0" containsNonDate="0" containsString="0"/>
    </cacheField>
    <cacheField name="[student_habits_performance].[gender].[gender]" caption="gender" numFmtId="0" hierarchy="2" level="1">
      <sharedItems containsSemiMixedTypes="0" containsNonDate="0" containsString="0"/>
    </cacheField>
    <cacheField name="[student_habits_performance].[Social Media].[Social Media]" caption="Social Media" numFmtId="0" hierarchy="17" level="1">
      <sharedItems containsSemiMixedTypes="0" containsNonDate="0" containsString="0"/>
    </cacheField>
    <cacheField name="[student_habits_performance].[Attendance].[Attendance]" caption="Attendance" numFmtId="0" hierarchy="18" level="1">
      <sharedItems containsSemiMixedTypes="0" containsNonDate="0" containsString="0"/>
    </cacheField>
  </cacheFields>
  <cacheHierarchies count="28">
    <cacheHierarchy uniqueName="[student_habits_performance].[student_id]" caption="student_id" attribute="1" defaultMemberUniqueName="[student_habits_performance].[student_id].[All]" allUniqueName="[student_habits_performance].[student_id].[All]" dimensionUniqueName="[student_habits_performance]" displayFolder="" count="0" memberValueDatatype="130" unbalanced="0"/>
    <cacheHierarchy uniqueName="[student_habits_performance].[age]" caption="age" attribute="1" defaultMemberUniqueName="[student_habits_performance].[age].[All]" allUniqueName="[student_habits_performance].[age].[All]" dimensionUniqueName="[student_habits_performance]" displayFolder="" count="0" memberValueDatatype="20" unbalanced="0"/>
    <cacheHierarchy uniqueName="[student_habits_performance].[gender]" caption="gender" attribute="1" defaultMemberUniqueName="[student_habits_performance].[gender].[All]" allUniqueName="[student_habits_performance].[gender].[All]" dimensionUniqueName="[student_habits_performance]" displayFolder="" count="2" memberValueDatatype="130" unbalanced="0">
      <fieldsUsage count="2">
        <fieldUsage x="-1"/>
        <fieldUsage x="2"/>
      </fieldsUsage>
    </cacheHierarchy>
    <cacheHierarchy uniqueName="[student_habits_performance].[study_hours_per_day]" caption="study_hours_per_day" attribute="1" defaultMemberUniqueName="[student_habits_performance].[study_hours_per_day].[All]" allUniqueName="[student_habits_performance].[study_hours_per_day].[All]" dimensionUniqueName="[student_habits_performance]" displayFolder="" count="0" memberValueDatatype="5" unbalanced="0"/>
    <cacheHierarchy uniqueName="[student_habits_performance].[social_media_hours]" caption="social_media_hours" attribute="1" defaultMemberUniqueName="[student_habits_performance].[social_media_hours].[All]" allUniqueName="[student_habits_performance].[social_media_hours].[All]" dimensionUniqueName="[student_habits_performance]" displayFolder="" count="0" memberValueDatatype="5" unbalanced="0"/>
    <cacheHierarchy uniqueName="[student_habits_performance].[netflix_hours]" caption="netflix_hours" attribute="1" defaultMemberUniqueName="[student_habits_performance].[netflix_hours].[All]" allUniqueName="[student_habits_performance].[netflix_hours].[All]" dimensionUniqueName="[student_habits_performance]" displayFolder="" count="0" memberValueDatatype="5" unbalanced="0"/>
    <cacheHierarchy uniqueName="[student_habits_performance].[part_time_job]" caption="part_time_job" attribute="1" defaultMemberUniqueName="[student_habits_performance].[part_time_job].[All]" allUniqueName="[student_habits_performance].[part_time_job].[All]" dimensionUniqueName="[student_habits_performance]" displayFolder="" count="0" memberValueDatatype="130" unbalanced="0"/>
    <cacheHierarchy uniqueName="[student_habits_performance].[attendance_percentage]" caption="attendance_percentage" attribute="1" defaultMemberUniqueName="[student_habits_performance].[attendance_percentage].[All]" allUniqueName="[student_habits_performance].[attendance_percentage].[All]" dimensionUniqueName="[student_habits_performance]" displayFolder="" count="0" memberValueDatatype="5" unbalanced="0"/>
    <cacheHierarchy uniqueName="[student_habits_performance].[sleep_hours]" caption="sleep_hours" attribute="1" defaultMemberUniqueName="[student_habits_performance].[sleep_hours].[All]" allUniqueName="[student_habits_performance].[sleep_hours].[All]" dimensionUniqueName="[student_habits_performance]" displayFolder="" count="0" memberValueDatatype="5" unbalanced="0"/>
    <cacheHierarchy uniqueName="[student_habits_performance].[diet_quality]" caption="diet_quality" attribute="1" defaultMemberUniqueName="[student_habits_performance].[diet_quality].[All]" allUniqueName="[student_habits_performance].[diet_quality].[All]" dimensionUniqueName="[student_habits_performance]" displayFolder="" count="0" memberValueDatatype="130" unbalanced="0"/>
    <cacheHierarchy uniqueName="[student_habits_performance].[exercise_frequency]" caption="exercise_frequency" attribute="1" defaultMemberUniqueName="[student_habits_performance].[exercise_frequency].[All]" allUniqueName="[student_habits_performance].[exercise_frequency].[All]" dimensionUniqueName="[student_habits_performance]" displayFolder="" count="0" memberValueDatatype="20" unbalanced="0"/>
    <cacheHierarchy uniqueName="[student_habits_performance].[parental_education_level]" caption="parental_education_level" attribute="1" defaultMemberUniqueName="[student_habits_performance].[parental_education_level].[All]" allUniqueName="[student_habits_performance].[parental_education_level].[All]" dimensionUniqueName="[student_habits_performance]" displayFolder="" count="0" memberValueDatatype="130" unbalanced="0"/>
    <cacheHierarchy uniqueName="[student_habits_performance].[internet_quality]" caption="internet_quality" attribute="1" defaultMemberUniqueName="[student_habits_performance].[internet_quality].[All]" allUniqueName="[student_habits_performance].[internet_quality].[All]" dimensionUniqueName="[student_habits_performance]" displayFolder="" count="0" memberValueDatatype="130" unbalanced="0"/>
    <cacheHierarchy uniqueName="[student_habits_performance].[mental_health_rating]" caption="mental_health_rating" attribute="1" defaultMemberUniqueName="[student_habits_performance].[mental_health_rating].[All]" allUniqueName="[student_habits_performance].[mental_health_rating].[All]" dimensionUniqueName="[student_habits_performance]" displayFolder="" count="0" memberValueDatatype="20" unbalanced="0"/>
    <cacheHierarchy uniqueName="[student_habits_performance].[extracurricular_participation]" caption="extracurricular_participation" attribute="1" defaultMemberUniqueName="[student_habits_performance].[extracurricular_participation].[All]" allUniqueName="[student_habits_performance].[extracurricular_participation].[All]" dimensionUniqueName="[student_habits_performance]" displayFolder="" count="0" memberValueDatatype="130" unbalanced="0"/>
    <cacheHierarchy uniqueName="[student_habits_performance].[exam_score]" caption="exam_score" attribute="1" defaultMemberUniqueName="[student_habits_performance].[exam_score].[All]" allUniqueName="[student_habits_performance].[exam_score].[All]" dimensionUniqueName="[student_habits_performance]" displayFolder="" count="0" memberValueDatatype="5" unbalanced="0"/>
    <cacheHierarchy uniqueName="[student_habits_performance].[Study Hour]" caption="Study Hour" attribute="1" defaultMemberUniqueName="[student_habits_performance].[Study Hour].[All]" allUniqueName="[student_habits_performance].[Study Hour].[All]" dimensionUniqueName="[student_habits_performance]" displayFolder="" count="2" memberValueDatatype="130" unbalanced="0">
      <fieldsUsage count="2">
        <fieldUsage x="-1"/>
        <fieldUsage x="1"/>
      </fieldsUsage>
    </cacheHierarchy>
    <cacheHierarchy uniqueName="[student_habits_performance].[Social Media]" caption="Social Media" attribute="1" defaultMemberUniqueName="[student_habits_performance].[Social Media].[All]" allUniqueName="[student_habits_performance].[Social Media].[All]" dimensionUniqueName="[student_habits_performance]" displayFolder="" count="2" memberValueDatatype="130" unbalanced="0">
      <fieldsUsage count="2">
        <fieldUsage x="-1"/>
        <fieldUsage x="3"/>
      </fieldsUsage>
    </cacheHierarchy>
    <cacheHierarchy uniqueName="[student_habits_performance].[Attendance]" caption="Attendance" attribute="1" defaultMemberUniqueName="[student_habits_performance].[Attendance].[All]" allUniqueName="[student_habits_performance].[Attendance].[All]" dimensionUniqueName="[student_habits_performance]" displayFolder="" count="2" memberValueDatatype="130" unbalanced="0">
      <fieldsUsage count="2">
        <fieldUsage x="-1"/>
        <fieldUsage x="4"/>
      </fieldsUsage>
    </cacheHierarchy>
    <cacheHierarchy uniqueName="[Measures].[Sum of exam_score]" caption="Sum of exam_score" measure="1" displayFolder="" measureGroup="student_habits_performance" count="0">
      <extLst>
        <ext xmlns:x15="http://schemas.microsoft.com/office/spreadsheetml/2010/11/main" uri="{B97F6D7D-B522-45F9-BDA1-12C45D357490}">
          <x15:cacheHierarchy aggregatedColumn="15"/>
        </ext>
      </extLst>
    </cacheHierarchy>
    <cacheHierarchy uniqueName="[Measures].[Average of exam_score]" caption="Average of exam_score" measure="1" displayFolder="" measureGroup="student_habits_performance" count="0">
      <extLst>
        <ext xmlns:x15="http://schemas.microsoft.com/office/spreadsheetml/2010/11/main" uri="{B97F6D7D-B522-45F9-BDA1-12C45D357490}">
          <x15:cacheHierarchy aggregatedColumn="15"/>
        </ext>
      </extLst>
    </cacheHierarchy>
    <cacheHierarchy uniqueName="[Measures].[Count of student_id]" caption="Count of student_id" measure="1" displayFolder="" measureGroup="student_habits_performance" count="0">
      <extLst>
        <ext xmlns:x15="http://schemas.microsoft.com/office/spreadsheetml/2010/11/main" uri="{B97F6D7D-B522-45F9-BDA1-12C45D357490}">
          <x15:cacheHierarchy aggregatedColumn="0"/>
        </ext>
      </extLst>
    </cacheHierarchy>
    <cacheHierarchy uniqueName="[Measures].[Total Students]" caption="Total Students" measure="1" displayFolder="" measureGroup="student_habits_performance" count="0"/>
    <cacheHierarchy uniqueName="[Measures].[Avg Exam Score]" caption="Avg Exam Score" measure="1" displayFolder="" measureGroup="student_habits_performance" count="0" oneField="1">
      <fieldsUsage count="1">
        <fieldUsage x="0"/>
      </fieldsUsage>
    </cacheHierarchy>
    <cacheHierarchy uniqueName="[Measures].[Avg Study Hrs/Day]" caption="Avg Study Hrs/Day" measure="1" displayFolder="" measureGroup="student_habits_performance" count="0"/>
    <cacheHierarchy uniqueName="[Measures].[Avg Attendance Rate]" caption="Avg Attendance Rate" measure="1" displayFolder="" measureGroup="student_habits_performance" count="0"/>
    <cacheHierarchy uniqueName="[Measures].[__XL_Count student_habits_performance]" caption="__XL_Count student_habits_performance" measure="1" displayFolder="" measureGroup="student_habits_performance" count="0" hidden="1"/>
    <cacheHierarchy uniqueName="[Measures].[__No measures defined]" caption="__No measures defined" measure="1" displayFolder="" count="0" hidden="1"/>
  </cacheHierarchies>
  <kpis count="0"/>
  <dimensions count="2">
    <dimension measure="1" name="Measures" uniqueName="[Measures]" caption="Measures"/>
    <dimension name="student_habits_performance" uniqueName="[student_habits_performance]" caption="student_habits_performance"/>
  </dimensions>
  <measureGroups count="1">
    <measureGroup name="student_habits_performance" caption="student_habits_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 daacad" refreshedDate="46166.726651620367" backgroundQuery="1" createdVersion="8" refreshedVersion="8" minRefreshableVersion="3" recordCount="0" supportSubquery="1" supportAdvancedDrill="1" xr:uid="{E4E28781-02D1-4E0C-8869-8E5BF3DFF679}">
  <cacheSource type="external" connectionId="2"/>
  <cacheFields count="5">
    <cacheField name="[Measures].[Avg Study Hrs/Day]" caption="Avg Study Hrs/Day" numFmtId="0" hierarchy="24" level="32767"/>
    <cacheField name="[student_habits_performance].[Study Hour].[Study Hour]" caption="Study Hour" numFmtId="0" hierarchy="16" level="1">
      <sharedItems containsSemiMixedTypes="0" containsNonDate="0" containsString="0"/>
    </cacheField>
    <cacheField name="[student_habits_performance].[gender].[gender]" caption="gender" numFmtId="0" hierarchy="2" level="1">
      <sharedItems containsSemiMixedTypes="0" containsNonDate="0" containsString="0"/>
    </cacheField>
    <cacheField name="[student_habits_performance].[Social Media].[Social Media]" caption="Social Media" numFmtId="0" hierarchy="17" level="1">
      <sharedItems containsSemiMixedTypes="0" containsNonDate="0" containsString="0"/>
    </cacheField>
    <cacheField name="[student_habits_performance].[Attendance].[Attendance]" caption="Attendance" numFmtId="0" hierarchy="18" level="1">
      <sharedItems containsSemiMixedTypes="0" containsNonDate="0" containsString="0"/>
    </cacheField>
  </cacheFields>
  <cacheHierarchies count="28">
    <cacheHierarchy uniqueName="[student_habits_performance].[student_id]" caption="student_id" attribute="1" defaultMemberUniqueName="[student_habits_performance].[student_id].[All]" allUniqueName="[student_habits_performance].[student_id].[All]" dimensionUniqueName="[student_habits_performance]" displayFolder="" count="0" memberValueDatatype="130" unbalanced="0"/>
    <cacheHierarchy uniqueName="[student_habits_performance].[age]" caption="age" attribute="1" defaultMemberUniqueName="[student_habits_performance].[age].[All]" allUniqueName="[student_habits_performance].[age].[All]" dimensionUniqueName="[student_habits_performance]" displayFolder="" count="0" memberValueDatatype="20" unbalanced="0"/>
    <cacheHierarchy uniqueName="[student_habits_performance].[gender]" caption="gender" attribute="1" defaultMemberUniqueName="[student_habits_performance].[gender].[All]" allUniqueName="[student_habits_performance].[gender].[All]" dimensionUniqueName="[student_habits_performance]" displayFolder="" count="2" memberValueDatatype="130" unbalanced="0">
      <fieldsUsage count="2">
        <fieldUsage x="-1"/>
        <fieldUsage x="2"/>
      </fieldsUsage>
    </cacheHierarchy>
    <cacheHierarchy uniqueName="[student_habits_performance].[study_hours_per_day]" caption="study_hours_per_day" attribute="1" defaultMemberUniqueName="[student_habits_performance].[study_hours_per_day].[All]" allUniqueName="[student_habits_performance].[study_hours_per_day].[All]" dimensionUniqueName="[student_habits_performance]" displayFolder="" count="0" memberValueDatatype="5" unbalanced="0"/>
    <cacheHierarchy uniqueName="[student_habits_performance].[social_media_hours]" caption="social_media_hours" attribute="1" defaultMemberUniqueName="[student_habits_performance].[social_media_hours].[All]" allUniqueName="[student_habits_performance].[social_media_hours].[All]" dimensionUniqueName="[student_habits_performance]" displayFolder="" count="0" memberValueDatatype="5" unbalanced="0"/>
    <cacheHierarchy uniqueName="[student_habits_performance].[netflix_hours]" caption="netflix_hours" attribute="1" defaultMemberUniqueName="[student_habits_performance].[netflix_hours].[All]" allUniqueName="[student_habits_performance].[netflix_hours].[All]" dimensionUniqueName="[student_habits_performance]" displayFolder="" count="0" memberValueDatatype="5" unbalanced="0"/>
    <cacheHierarchy uniqueName="[student_habits_performance].[part_time_job]" caption="part_time_job" attribute="1" defaultMemberUniqueName="[student_habits_performance].[part_time_job].[All]" allUniqueName="[student_habits_performance].[part_time_job].[All]" dimensionUniqueName="[student_habits_performance]" displayFolder="" count="0" memberValueDatatype="130" unbalanced="0"/>
    <cacheHierarchy uniqueName="[student_habits_performance].[attendance_percentage]" caption="attendance_percentage" attribute="1" defaultMemberUniqueName="[student_habits_performance].[attendance_percentage].[All]" allUniqueName="[student_habits_performance].[attendance_percentage].[All]" dimensionUniqueName="[student_habits_performance]" displayFolder="" count="0" memberValueDatatype="5" unbalanced="0"/>
    <cacheHierarchy uniqueName="[student_habits_performance].[sleep_hours]" caption="sleep_hours" attribute="1" defaultMemberUniqueName="[student_habits_performance].[sleep_hours].[All]" allUniqueName="[student_habits_performance].[sleep_hours].[All]" dimensionUniqueName="[student_habits_performance]" displayFolder="" count="0" memberValueDatatype="5" unbalanced="0"/>
    <cacheHierarchy uniqueName="[student_habits_performance].[diet_quality]" caption="diet_quality" attribute="1" defaultMemberUniqueName="[student_habits_performance].[diet_quality].[All]" allUniqueName="[student_habits_performance].[diet_quality].[All]" dimensionUniqueName="[student_habits_performance]" displayFolder="" count="0" memberValueDatatype="130" unbalanced="0"/>
    <cacheHierarchy uniqueName="[student_habits_performance].[exercise_frequency]" caption="exercise_frequency" attribute="1" defaultMemberUniqueName="[student_habits_performance].[exercise_frequency].[All]" allUniqueName="[student_habits_performance].[exercise_frequency].[All]" dimensionUniqueName="[student_habits_performance]" displayFolder="" count="0" memberValueDatatype="20" unbalanced="0"/>
    <cacheHierarchy uniqueName="[student_habits_performance].[parental_education_level]" caption="parental_education_level" attribute="1" defaultMemberUniqueName="[student_habits_performance].[parental_education_level].[All]" allUniqueName="[student_habits_performance].[parental_education_level].[All]" dimensionUniqueName="[student_habits_performance]" displayFolder="" count="0" memberValueDatatype="130" unbalanced="0"/>
    <cacheHierarchy uniqueName="[student_habits_performance].[internet_quality]" caption="internet_quality" attribute="1" defaultMemberUniqueName="[student_habits_performance].[internet_quality].[All]" allUniqueName="[student_habits_performance].[internet_quality].[All]" dimensionUniqueName="[student_habits_performance]" displayFolder="" count="0" memberValueDatatype="130" unbalanced="0"/>
    <cacheHierarchy uniqueName="[student_habits_performance].[mental_health_rating]" caption="mental_health_rating" attribute="1" defaultMemberUniqueName="[student_habits_performance].[mental_health_rating].[All]" allUniqueName="[student_habits_performance].[mental_health_rating].[All]" dimensionUniqueName="[student_habits_performance]" displayFolder="" count="0" memberValueDatatype="20" unbalanced="0"/>
    <cacheHierarchy uniqueName="[student_habits_performance].[extracurricular_participation]" caption="extracurricular_participation" attribute="1" defaultMemberUniqueName="[student_habits_performance].[extracurricular_participation].[All]" allUniqueName="[student_habits_performance].[extracurricular_participation].[All]" dimensionUniqueName="[student_habits_performance]" displayFolder="" count="0" memberValueDatatype="130" unbalanced="0"/>
    <cacheHierarchy uniqueName="[student_habits_performance].[exam_score]" caption="exam_score" attribute="1" defaultMemberUniqueName="[student_habits_performance].[exam_score].[All]" allUniqueName="[student_habits_performance].[exam_score].[All]" dimensionUniqueName="[student_habits_performance]" displayFolder="" count="0" memberValueDatatype="5" unbalanced="0"/>
    <cacheHierarchy uniqueName="[student_habits_performance].[Study Hour]" caption="Study Hour" attribute="1" defaultMemberUniqueName="[student_habits_performance].[Study Hour].[All]" allUniqueName="[student_habits_performance].[Study Hour].[All]" dimensionUniqueName="[student_habits_performance]" displayFolder="" count="2" memberValueDatatype="130" unbalanced="0">
      <fieldsUsage count="2">
        <fieldUsage x="-1"/>
        <fieldUsage x="1"/>
      </fieldsUsage>
    </cacheHierarchy>
    <cacheHierarchy uniqueName="[student_habits_performance].[Social Media]" caption="Social Media" attribute="1" defaultMemberUniqueName="[student_habits_performance].[Social Media].[All]" allUniqueName="[student_habits_performance].[Social Media].[All]" dimensionUniqueName="[student_habits_performance]" displayFolder="" count="2" memberValueDatatype="130" unbalanced="0">
      <fieldsUsage count="2">
        <fieldUsage x="-1"/>
        <fieldUsage x="3"/>
      </fieldsUsage>
    </cacheHierarchy>
    <cacheHierarchy uniqueName="[student_habits_performance].[Attendance]" caption="Attendance" attribute="1" defaultMemberUniqueName="[student_habits_performance].[Attendance].[All]" allUniqueName="[student_habits_performance].[Attendance].[All]" dimensionUniqueName="[student_habits_performance]" displayFolder="" count="2" memberValueDatatype="130" unbalanced="0">
      <fieldsUsage count="2">
        <fieldUsage x="-1"/>
        <fieldUsage x="4"/>
      </fieldsUsage>
    </cacheHierarchy>
    <cacheHierarchy uniqueName="[Measures].[Sum of exam_score]" caption="Sum of exam_score" measure="1" displayFolder="" measureGroup="student_habits_performance" count="0">
      <extLst>
        <ext xmlns:x15="http://schemas.microsoft.com/office/spreadsheetml/2010/11/main" uri="{B97F6D7D-B522-45F9-BDA1-12C45D357490}">
          <x15:cacheHierarchy aggregatedColumn="15"/>
        </ext>
      </extLst>
    </cacheHierarchy>
    <cacheHierarchy uniqueName="[Measures].[Average of exam_score]" caption="Average of exam_score" measure="1" displayFolder="" measureGroup="student_habits_performance" count="0">
      <extLst>
        <ext xmlns:x15="http://schemas.microsoft.com/office/spreadsheetml/2010/11/main" uri="{B97F6D7D-B522-45F9-BDA1-12C45D357490}">
          <x15:cacheHierarchy aggregatedColumn="15"/>
        </ext>
      </extLst>
    </cacheHierarchy>
    <cacheHierarchy uniqueName="[Measures].[Count of student_id]" caption="Count of student_id" measure="1" displayFolder="" measureGroup="student_habits_performance" count="0">
      <extLst>
        <ext xmlns:x15="http://schemas.microsoft.com/office/spreadsheetml/2010/11/main" uri="{B97F6D7D-B522-45F9-BDA1-12C45D357490}">
          <x15:cacheHierarchy aggregatedColumn="0"/>
        </ext>
      </extLst>
    </cacheHierarchy>
    <cacheHierarchy uniqueName="[Measures].[Total Students]" caption="Total Students" measure="1" displayFolder="" measureGroup="student_habits_performance" count="0"/>
    <cacheHierarchy uniqueName="[Measures].[Avg Exam Score]" caption="Avg Exam Score" measure="1" displayFolder="" measureGroup="student_habits_performance" count="0"/>
    <cacheHierarchy uniqueName="[Measures].[Avg Study Hrs/Day]" caption="Avg Study Hrs/Day" measure="1" displayFolder="" measureGroup="student_habits_performance" count="0" oneField="1">
      <fieldsUsage count="1">
        <fieldUsage x="0"/>
      </fieldsUsage>
    </cacheHierarchy>
    <cacheHierarchy uniqueName="[Measures].[Avg Attendance Rate]" caption="Avg Attendance Rate" measure="1" displayFolder="" measureGroup="student_habits_performance" count="0"/>
    <cacheHierarchy uniqueName="[Measures].[__XL_Count student_habits_performance]" caption="__XL_Count student_habits_performance" measure="1" displayFolder="" measureGroup="student_habits_performance" count="0" hidden="1"/>
    <cacheHierarchy uniqueName="[Measures].[__No measures defined]" caption="__No measures defined" measure="1" displayFolder="" count="0" hidden="1"/>
  </cacheHierarchies>
  <kpis count="0"/>
  <dimensions count="2">
    <dimension measure="1" name="Measures" uniqueName="[Measures]" caption="Measures"/>
    <dimension name="student_habits_performance" uniqueName="[student_habits_performance]" caption="student_habits_performance"/>
  </dimensions>
  <measureGroups count="1">
    <measureGroup name="student_habits_performance" caption="student_habits_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 daacad" refreshedDate="46166.726654745369" backgroundQuery="1" createdVersion="8" refreshedVersion="8" minRefreshableVersion="3" recordCount="0" supportSubquery="1" supportAdvancedDrill="1" xr:uid="{0F512641-34D1-4E1C-9444-FFD0C57E0DD8}">
  <cacheSource type="external" connectionId="2"/>
  <cacheFields count="5">
    <cacheField name="[Measures].[Avg Attendance Rate]" caption="Avg Attendance Rate" numFmtId="0" hierarchy="25" level="32767"/>
    <cacheField name="[student_habits_performance].[Study Hour].[Study Hour]" caption="Study Hour" numFmtId="0" hierarchy="16" level="1">
      <sharedItems containsSemiMixedTypes="0" containsNonDate="0" containsString="0"/>
    </cacheField>
    <cacheField name="[student_habits_performance].[gender].[gender]" caption="gender" numFmtId="0" hierarchy="2" level="1">
      <sharedItems containsSemiMixedTypes="0" containsNonDate="0" containsString="0"/>
    </cacheField>
    <cacheField name="[student_habits_performance].[Social Media].[Social Media]" caption="Social Media" numFmtId="0" hierarchy="17" level="1">
      <sharedItems containsSemiMixedTypes="0" containsNonDate="0" containsString="0"/>
    </cacheField>
    <cacheField name="[student_habits_performance].[Attendance].[Attendance]" caption="Attendance" numFmtId="0" hierarchy="18" level="1">
      <sharedItems containsSemiMixedTypes="0" containsNonDate="0" containsString="0"/>
    </cacheField>
  </cacheFields>
  <cacheHierarchies count="28">
    <cacheHierarchy uniqueName="[student_habits_performance].[student_id]" caption="student_id" attribute="1" defaultMemberUniqueName="[student_habits_performance].[student_id].[All]" allUniqueName="[student_habits_performance].[student_id].[All]" dimensionUniqueName="[student_habits_performance]" displayFolder="" count="0" memberValueDatatype="130" unbalanced="0"/>
    <cacheHierarchy uniqueName="[student_habits_performance].[age]" caption="age" attribute="1" defaultMemberUniqueName="[student_habits_performance].[age].[All]" allUniqueName="[student_habits_performance].[age].[All]" dimensionUniqueName="[student_habits_performance]" displayFolder="" count="0" memberValueDatatype="20" unbalanced="0"/>
    <cacheHierarchy uniqueName="[student_habits_performance].[gender]" caption="gender" attribute="1" defaultMemberUniqueName="[student_habits_performance].[gender].[All]" allUniqueName="[student_habits_performance].[gender].[All]" dimensionUniqueName="[student_habits_performance]" displayFolder="" count="2" memberValueDatatype="130" unbalanced="0">
      <fieldsUsage count="2">
        <fieldUsage x="-1"/>
        <fieldUsage x="2"/>
      </fieldsUsage>
    </cacheHierarchy>
    <cacheHierarchy uniqueName="[student_habits_performance].[study_hours_per_day]" caption="study_hours_per_day" attribute="1" defaultMemberUniqueName="[student_habits_performance].[study_hours_per_day].[All]" allUniqueName="[student_habits_performance].[study_hours_per_day].[All]" dimensionUniqueName="[student_habits_performance]" displayFolder="" count="0" memberValueDatatype="5" unbalanced="0"/>
    <cacheHierarchy uniqueName="[student_habits_performance].[social_media_hours]" caption="social_media_hours" attribute="1" defaultMemberUniqueName="[student_habits_performance].[social_media_hours].[All]" allUniqueName="[student_habits_performance].[social_media_hours].[All]" dimensionUniqueName="[student_habits_performance]" displayFolder="" count="0" memberValueDatatype="5" unbalanced="0"/>
    <cacheHierarchy uniqueName="[student_habits_performance].[netflix_hours]" caption="netflix_hours" attribute="1" defaultMemberUniqueName="[student_habits_performance].[netflix_hours].[All]" allUniqueName="[student_habits_performance].[netflix_hours].[All]" dimensionUniqueName="[student_habits_performance]" displayFolder="" count="0" memberValueDatatype="5" unbalanced="0"/>
    <cacheHierarchy uniqueName="[student_habits_performance].[part_time_job]" caption="part_time_job" attribute="1" defaultMemberUniqueName="[student_habits_performance].[part_time_job].[All]" allUniqueName="[student_habits_performance].[part_time_job].[All]" dimensionUniqueName="[student_habits_performance]" displayFolder="" count="0" memberValueDatatype="130" unbalanced="0"/>
    <cacheHierarchy uniqueName="[student_habits_performance].[attendance_percentage]" caption="attendance_percentage" attribute="1" defaultMemberUniqueName="[student_habits_performance].[attendance_percentage].[All]" allUniqueName="[student_habits_performance].[attendance_percentage].[All]" dimensionUniqueName="[student_habits_performance]" displayFolder="" count="0" memberValueDatatype="5" unbalanced="0"/>
    <cacheHierarchy uniqueName="[student_habits_performance].[sleep_hours]" caption="sleep_hours" attribute="1" defaultMemberUniqueName="[student_habits_performance].[sleep_hours].[All]" allUniqueName="[student_habits_performance].[sleep_hours].[All]" dimensionUniqueName="[student_habits_performance]" displayFolder="" count="0" memberValueDatatype="5" unbalanced="0"/>
    <cacheHierarchy uniqueName="[student_habits_performance].[diet_quality]" caption="diet_quality" attribute="1" defaultMemberUniqueName="[student_habits_performance].[diet_quality].[All]" allUniqueName="[student_habits_performance].[diet_quality].[All]" dimensionUniqueName="[student_habits_performance]" displayFolder="" count="0" memberValueDatatype="130" unbalanced="0"/>
    <cacheHierarchy uniqueName="[student_habits_performance].[exercise_frequency]" caption="exercise_frequency" attribute="1" defaultMemberUniqueName="[student_habits_performance].[exercise_frequency].[All]" allUniqueName="[student_habits_performance].[exercise_frequency].[All]" dimensionUniqueName="[student_habits_performance]" displayFolder="" count="0" memberValueDatatype="20" unbalanced="0"/>
    <cacheHierarchy uniqueName="[student_habits_performance].[parental_education_level]" caption="parental_education_level" attribute="1" defaultMemberUniqueName="[student_habits_performance].[parental_education_level].[All]" allUniqueName="[student_habits_performance].[parental_education_level].[All]" dimensionUniqueName="[student_habits_performance]" displayFolder="" count="0" memberValueDatatype="130" unbalanced="0"/>
    <cacheHierarchy uniqueName="[student_habits_performance].[internet_quality]" caption="internet_quality" attribute="1" defaultMemberUniqueName="[student_habits_performance].[internet_quality].[All]" allUniqueName="[student_habits_performance].[internet_quality].[All]" dimensionUniqueName="[student_habits_performance]" displayFolder="" count="0" memberValueDatatype="130" unbalanced="0"/>
    <cacheHierarchy uniqueName="[student_habits_performance].[mental_health_rating]" caption="mental_health_rating" attribute="1" defaultMemberUniqueName="[student_habits_performance].[mental_health_rating].[All]" allUniqueName="[student_habits_performance].[mental_health_rating].[All]" dimensionUniqueName="[student_habits_performance]" displayFolder="" count="0" memberValueDatatype="20" unbalanced="0"/>
    <cacheHierarchy uniqueName="[student_habits_performance].[extracurricular_participation]" caption="extracurricular_participation" attribute="1" defaultMemberUniqueName="[student_habits_performance].[extracurricular_participation].[All]" allUniqueName="[student_habits_performance].[extracurricular_participation].[All]" dimensionUniqueName="[student_habits_performance]" displayFolder="" count="0" memberValueDatatype="130" unbalanced="0"/>
    <cacheHierarchy uniqueName="[student_habits_performance].[exam_score]" caption="exam_score" attribute="1" defaultMemberUniqueName="[student_habits_performance].[exam_score].[All]" allUniqueName="[student_habits_performance].[exam_score].[All]" dimensionUniqueName="[student_habits_performance]" displayFolder="" count="0" memberValueDatatype="5" unbalanced="0"/>
    <cacheHierarchy uniqueName="[student_habits_performance].[Study Hour]" caption="Study Hour" attribute="1" defaultMemberUniqueName="[student_habits_performance].[Study Hour].[All]" allUniqueName="[student_habits_performance].[Study Hour].[All]" dimensionUniqueName="[student_habits_performance]" displayFolder="" count="2" memberValueDatatype="130" unbalanced="0">
      <fieldsUsage count="2">
        <fieldUsage x="-1"/>
        <fieldUsage x="1"/>
      </fieldsUsage>
    </cacheHierarchy>
    <cacheHierarchy uniqueName="[student_habits_performance].[Social Media]" caption="Social Media" attribute="1" defaultMemberUniqueName="[student_habits_performance].[Social Media].[All]" allUniqueName="[student_habits_performance].[Social Media].[All]" dimensionUniqueName="[student_habits_performance]" displayFolder="" count="2" memberValueDatatype="130" unbalanced="0">
      <fieldsUsage count="2">
        <fieldUsage x="-1"/>
        <fieldUsage x="3"/>
      </fieldsUsage>
    </cacheHierarchy>
    <cacheHierarchy uniqueName="[student_habits_performance].[Attendance]" caption="Attendance" attribute="1" defaultMemberUniqueName="[student_habits_performance].[Attendance].[All]" allUniqueName="[student_habits_performance].[Attendance].[All]" dimensionUniqueName="[student_habits_performance]" displayFolder="" count="2" memberValueDatatype="130" unbalanced="0">
      <fieldsUsage count="2">
        <fieldUsage x="-1"/>
        <fieldUsage x="4"/>
      </fieldsUsage>
    </cacheHierarchy>
    <cacheHierarchy uniqueName="[Measures].[Sum of exam_score]" caption="Sum of exam_score" measure="1" displayFolder="" measureGroup="student_habits_performance" count="0">
      <extLst>
        <ext xmlns:x15="http://schemas.microsoft.com/office/spreadsheetml/2010/11/main" uri="{B97F6D7D-B522-45F9-BDA1-12C45D357490}">
          <x15:cacheHierarchy aggregatedColumn="15"/>
        </ext>
      </extLst>
    </cacheHierarchy>
    <cacheHierarchy uniqueName="[Measures].[Average of exam_score]" caption="Average of exam_score" measure="1" displayFolder="" measureGroup="student_habits_performance" count="0">
      <extLst>
        <ext xmlns:x15="http://schemas.microsoft.com/office/spreadsheetml/2010/11/main" uri="{B97F6D7D-B522-45F9-BDA1-12C45D357490}">
          <x15:cacheHierarchy aggregatedColumn="15"/>
        </ext>
      </extLst>
    </cacheHierarchy>
    <cacheHierarchy uniqueName="[Measures].[Count of student_id]" caption="Count of student_id" measure="1" displayFolder="" measureGroup="student_habits_performance" count="0">
      <extLst>
        <ext xmlns:x15="http://schemas.microsoft.com/office/spreadsheetml/2010/11/main" uri="{B97F6D7D-B522-45F9-BDA1-12C45D357490}">
          <x15:cacheHierarchy aggregatedColumn="0"/>
        </ext>
      </extLst>
    </cacheHierarchy>
    <cacheHierarchy uniqueName="[Measures].[Total Students]" caption="Total Students" measure="1" displayFolder="" measureGroup="student_habits_performance" count="0"/>
    <cacheHierarchy uniqueName="[Measures].[Avg Exam Score]" caption="Avg Exam Score" measure="1" displayFolder="" measureGroup="student_habits_performance" count="0"/>
    <cacheHierarchy uniqueName="[Measures].[Avg Study Hrs/Day]" caption="Avg Study Hrs/Day" measure="1" displayFolder="" measureGroup="student_habits_performance" count="0"/>
    <cacheHierarchy uniqueName="[Measures].[Avg Attendance Rate]" caption="Avg Attendance Rate" measure="1" displayFolder="" measureGroup="student_habits_performance" count="0" oneField="1">
      <fieldsUsage count="1">
        <fieldUsage x="0"/>
      </fieldsUsage>
    </cacheHierarchy>
    <cacheHierarchy uniqueName="[Measures].[__XL_Count student_habits_performance]" caption="__XL_Count student_habits_performance" measure="1" displayFolder="" measureGroup="student_habits_performance" count="0" hidden="1"/>
    <cacheHierarchy uniqueName="[Measures].[__No measures defined]" caption="__No measures defined" measure="1" displayFolder="" count="0" hidden="1"/>
  </cacheHierarchies>
  <kpis count="0"/>
  <dimensions count="2">
    <dimension measure="1" name="Measures" uniqueName="[Measures]" caption="Measures"/>
    <dimension name="student_habits_performance" uniqueName="[student_habits_performance]" caption="student_habits_performance"/>
  </dimensions>
  <measureGroups count="1">
    <measureGroup name="student_habits_performance" caption="student_habits_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 daacad" refreshedDate="46166.726658564818" backgroundQuery="1" createdVersion="8" refreshedVersion="8" minRefreshableVersion="3" recordCount="0" supportSubquery="1" supportAdvancedDrill="1" xr:uid="{7701D4C0-5365-4060-BEDC-C638194CE0A5}">
  <cacheSource type="external" connectionId="2"/>
  <cacheFields count="6">
    <cacheField name="[Measures].[Average of exam_score]" caption="Average of exam_score" numFmtId="0" hierarchy="20" level="32767"/>
    <cacheField name="[Measures].[Count of student_id]" caption="Count of student_id" numFmtId="0" hierarchy="21" level="32767"/>
    <cacheField name="[student_habits_performance].[Study Hour].[Study Hour]" caption="Study Hour" numFmtId="0" hierarchy="16" level="1">
      <sharedItems count="4">
        <s v="0-2hrs"/>
        <s v="3-4hrs"/>
        <s v="5-6hrs"/>
        <s v="7-8hrs"/>
      </sharedItems>
    </cacheField>
    <cacheField name="[student_habits_performance].[gender].[gender]" caption="gender" numFmtId="0" hierarchy="2" level="1">
      <sharedItems containsSemiMixedTypes="0" containsNonDate="0" containsString="0"/>
    </cacheField>
    <cacheField name="[student_habits_performance].[Social Media].[Social Media]" caption="Social Media" numFmtId="0" hierarchy="17" level="1">
      <sharedItems containsSemiMixedTypes="0" containsNonDate="0" containsString="0"/>
    </cacheField>
    <cacheField name="[student_habits_performance].[Attendance].[Attendance]" caption="Attendance" numFmtId="0" hierarchy="18" level="1">
      <sharedItems containsSemiMixedTypes="0" containsNonDate="0" containsString="0"/>
    </cacheField>
  </cacheFields>
  <cacheHierarchies count="28">
    <cacheHierarchy uniqueName="[student_habits_performance].[student_id]" caption="student_id" attribute="1" defaultMemberUniqueName="[student_habits_performance].[student_id].[All]" allUniqueName="[student_habits_performance].[student_id].[All]" dimensionUniqueName="[student_habits_performance]" displayFolder="" count="0" memberValueDatatype="130" unbalanced="0"/>
    <cacheHierarchy uniqueName="[student_habits_performance].[age]" caption="age" attribute="1" defaultMemberUniqueName="[student_habits_performance].[age].[All]" allUniqueName="[student_habits_performance].[age].[All]" dimensionUniqueName="[student_habits_performance]" displayFolder="" count="0" memberValueDatatype="20" unbalanced="0"/>
    <cacheHierarchy uniqueName="[student_habits_performance].[gender]" caption="gender" attribute="1" defaultMemberUniqueName="[student_habits_performance].[gender].[All]" allUniqueName="[student_habits_performance].[gender].[All]" dimensionUniqueName="[student_habits_performance]" displayFolder="" count="2" memberValueDatatype="130" unbalanced="0">
      <fieldsUsage count="2">
        <fieldUsage x="-1"/>
        <fieldUsage x="3"/>
      </fieldsUsage>
    </cacheHierarchy>
    <cacheHierarchy uniqueName="[student_habits_performance].[study_hours_per_day]" caption="study_hours_per_day" attribute="1" defaultMemberUniqueName="[student_habits_performance].[study_hours_per_day].[All]" allUniqueName="[student_habits_performance].[study_hours_per_day].[All]" dimensionUniqueName="[student_habits_performance]" displayFolder="" count="0" memberValueDatatype="5" unbalanced="0"/>
    <cacheHierarchy uniqueName="[student_habits_performance].[social_media_hours]" caption="social_media_hours" attribute="1" defaultMemberUniqueName="[student_habits_performance].[social_media_hours].[All]" allUniqueName="[student_habits_performance].[social_media_hours].[All]" dimensionUniqueName="[student_habits_performance]" displayFolder="" count="0" memberValueDatatype="5" unbalanced="0"/>
    <cacheHierarchy uniqueName="[student_habits_performance].[netflix_hours]" caption="netflix_hours" attribute="1" defaultMemberUniqueName="[student_habits_performance].[netflix_hours].[All]" allUniqueName="[student_habits_performance].[netflix_hours].[All]" dimensionUniqueName="[student_habits_performance]" displayFolder="" count="0" memberValueDatatype="5" unbalanced="0"/>
    <cacheHierarchy uniqueName="[student_habits_performance].[part_time_job]" caption="part_time_job" attribute="1" defaultMemberUniqueName="[student_habits_performance].[part_time_job].[All]" allUniqueName="[student_habits_performance].[part_time_job].[All]" dimensionUniqueName="[student_habits_performance]" displayFolder="" count="0" memberValueDatatype="130" unbalanced="0"/>
    <cacheHierarchy uniqueName="[student_habits_performance].[attendance_percentage]" caption="attendance_percentage" attribute="1" defaultMemberUniqueName="[student_habits_performance].[attendance_percentage].[All]" allUniqueName="[student_habits_performance].[attendance_percentage].[All]" dimensionUniqueName="[student_habits_performance]" displayFolder="" count="0" memberValueDatatype="5" unbalanced="0"/>
    <cacheHierarchy uniqueName="[student_habits_performance].[sleep_hours]" caption="sleep_hours" attribute="1" defaultMemberUniqueName="[student_habits_performance].[sleep_hours].[All]" allUniqueName="[student_habits_performance].[sleep_hours].[All]" dimensionUniqueName="[student_habits_performance]" displayFolder="" count="0" memberValueDatatype="5" unbalanced="0"/>
    <cacheHierarchy uniqueName="[student_habits_performance].[diet_quality]" caption="diet_quality" attribute="1" defaultMemberUniqueName="[student_habits_performance].[diet_quality].[All]" allUniqueName="[student_habits_performance].[diet_quality].[All]" dimensionUniqueName="[student_habits_performance]" displayFolder="" count="0" memberValueDatatype="130" unbalanced="0"/>
    <cacheHierarchy uniqueName="[student_habits_performance].[exercise_frequency]" caption="exercise_frequency" attribute="1" defaultMemberUniqueName="[student_habits_performance].[exercise_frequency].[All]" allUniqueName="[student_habits_performance].[exercise_frequency].[All]" dimensionUniqueName="[student_habits_performance]" displayFolder="" count="0" memberValueDatatype="20" unbalanced="0"/>
    <cacheHierarchy uniqueName="[student_habits_performance].[parental_education_level]" caption="parental_education_level" attribute="1" defaultMemberUniqueName="[student_habits_performance].[parental_education_level].[All]" allUniqueName="[student_habits_performance].[parental_education_level].[All]" dimensionUniqueName="[student_habits_performance]" displayFolder="" count="0" memberValueDatatype="130" unbalanced="0"/>
    <cacheHierarchy uniqueName="[student_habits_performance].[internet_quality]" caption="internet_quality" attribute="1" defaultMemberUniqueName="[student_habits_performance].[internet_quality].[All]" allUniqueName="[student_habits_performance].[internet_quality].[All]" dimensionUniqueName="[student_habits_performance]" displayFolder="" count="0" memberValueDatatype="130" unbalanced="0"/>
    <cacheHierarchy uniqueName="[student_habits_performance].[mental_health_rating]" caption="mental_health_rating" attribute="1" defaultMemberUniqueName="[student_habits_performance].[mental_health_rating].[All]" allUniqueName="[student_habits_performance].[mental_health_rating].[All]" dimensionUniqueName="[student_habits_performance]" displayFolder="" count="0" memberValueDatatype="20" unbalanced="0"/>
    <cacheHierarchy uniqueName="[student_habits_performance].[extracurricular_participation]" caption="extracurricular_participation" attribute="1" defaultMemberUniqueName="[student_habits_performance].[extracurricular_participation].[All]" allUniqueName="[student_habits_performance].[extracurricular_participation].[All]" dimensionUniqueName="[student_habits_performance]" displayFolder="" count="0" memberValueDatatype="130" unbalanced="0"/>
    <cacheHierarchy uniqueName="[student_habits_performance].[exam_score]" caption="exam_score" attribute="1" defaultMemberUniqueName="[student_habits_performance].[exam_score].[All]" allUniqueName="[student_habits_performance].[exam_score].[All]" dimensionUniqueName="[student_habits_performance]" displayFolder="" count="0" memberValueDatatype="5" unbalanced="0"/>
    <cacheHierarchy uniqueName="[student_habits_performance].[Study Hour]" caption="Study Hour" attribute="1" defaultMemberUniqueName="[student_habits_performance].[Study Hour].[All]" allUniqueName="[student_habits_performance].[Study Hour].[All]" dimensionUniqueName="[student_habits_performance]" displayFolder="" count="2" memberValueDatatype="130" unbalanced="0">
      <fieldsUsage count="2">
        <fieldUsage x="-1"/>
        <fieldUsage x="2"/>
      </fieldsUsage>
    </cacheHierarchy>
    <cacheHierarchy uniqueName="[student_habits_performance].[Social Media]" caption="Social Media" attribute="1" defaultMemberUniqueName="[student_habits_performance].[Social Media].[All]" allUniqueName="[student_habits_performance].[Social Media].[All]" dimensionUniqueName="[student_habits_performance]" displayFolder="" count="2" memberValueDatatype="130" unbalanced="0">
      <fieldsUsage count="2">
        <fieldUsage x="-1"/>
        <fieldUsage x="4"/>
      </fieldsUsage>
    </cacheHierarchy>
    <cacheHierarchy uniqueName="[student_habits_performance].[Attendance]" caption="Attendance" attribute="1" defaultMemberUniqueName="[student_habits_performance].[Attendance].[All]" allUniqueName="[student_habits_performance].[Attendance].[All]" dimensionUniqueName="[student_habits_performance]" displayFolder="" count="2" memberValueDatatype="130" unbalanced="0">
      <fieldsUsage count="2">
        <fieldUsage x="-1"/>
        <fieldUsage x="5"/>
      </fieldsUsage>
    </cacheHierarchy>
    <cacheHierarchy uniqueName="[Measures].[Sum of exam_score]" caption="Sum of exam_score" measure="1" displayFolder="" measureGroup="student_habits_performance" count="0">
      <extLst>
        <ext xmlns:x15="http://schemas.microsoft.com/office/spreadsheetml/2010/11/main" uri="{B97F6D7D-B522-45F9-BDA1-12C45D357490}">
          <x15:cacheHierarchy aggregatedColumn="15"/>
        </ext>
      </extLst>
    </cacheHierarchy>
    <cacheHierarchy uniqueName="[Measures].[Average of exam_score]" caption="Average of exam_score" measure="1" displayFolder="" measureGroup="student_habits_performance" count="0" oneField="1">
      <fieldsUsage count="1">
        <fieldUsage x="0"/>
      </fieldsUsage>
      <extLst>
        <ext xmlns:x15="http://schemas.microsoft.com/office/spreadsheetml/2010/11/main" uri="{B97F6D7D-B522-45F9-BDA1-12C45D357490}">
          <x15:cacheHierarchy aggregatedColumn="15"/>
        </ext>
      </extLst>
    </cacheHierarchy>
    <cacheHierarchy uniqueName="[Measures].[Count of student_id]" caption="Count of student_id" measure="1" displayFolder="" measureGroup="student_habits_performance" count="0" oneField="1">
      <fieldsUsage count="1">
        <fieldUsage x="1"/>
      </fieldsUsage>
      <extLst>
        <ext xmlns:x15="http://schemas.microsoft.com/office/spreadsheetml/2010/11/main" uri="{B97F6D7D-B522-45F9-BDA1-12C45D357490}">
          <x15:cacheHierarchy aggregatedColumn="0"/>
        </ext>
      </extLst>
    </cacheHierarchy>
    <cacheHierarchy uniqueName="[Measures].[Total Students]" caption="Total Students" measure="1" displayFolder="" measureGroup="student_habits_performance" count="0"/>
    <cacheHierarchy uniqueName="[Measures].[Avg Exam Score]" caption="Avg Exam Score" measure="1" displayFolder="" measureGroup="student_habits_performance" count="0"/>
    <cacheHierarchy uniqueName="[Measures].[Avg Study Hrs/Day]" caption="Avg Study Hrs/Day" measure="1" displayFolder="" measureGroup="student_habits_performance" count="0"/>
    <cacheHierarchy uniqueName="[Measures].[Avg Attendance Rate]" caption="Avg Attendance Rate" measure="1" displayFolder="" measureGroup="student_habits_performance" count="0"/>
    <cacheHierarchy uniqueName="[Measures].[__XL_Count student_habits_performance]" caption="__XL_Count student_habits_performance" measure="1" displayFolder="" measureGroup="student_habits_performance" count="0" hidden="1"/>
    <cacheHierarchy uniqueName="[Measures].[__No measures defined]" caption="__No measures defined" measure="1" displayFolder="" count="0" hidden="1"/>
  </cacheHierarchies>
  <kpis count="0"/>
  <dimensions count="2">
    <dimension measure="1" name="Measures" uniqueName="[Measures]" caption="Measures"/>
    <dimension name="student_habits_performance" uniqueName="[student_habits_performance]" caption="student_habits_performance"/>
  </dimensions>
  <measureGroups count="1">
    <measureGroup name="student_habits_performance" caption="student_habits_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 daacad" refreshedDate="46166.726661689812" backgroundQuery="1" createdVersion="8" refreshedVersion="8" minRefreshableVersion="3" recordCount="0" supportSubquery="1" supportAdvancedDrill="1" xr:uid="{B2887C2B-0E7B-4B41-926A-7A7132825C2A}">
  <cacheSource type="external" connectionId="2"/>
  <cacheFields count="6">
    <cacheField name="[Measures].[Average of exam_score]" caption="Average of exam_score" numFmtId="0" hierarchy="20" level="32767"/>
    <cacheField name="[Measures].[Count of student_id]" caption="Count of student_id" numFmtId="0" hierarchy="21" level="32767"/>
    <cacheField name="[student_habits_performance].[Attendance].[Attendance]" caption="Attendance" numFmtId="0" hierarchy="18" level="1">
      <sharedItems count="5">
        <s v="0-60%"/>
        <s v="61-70%"/>
        <s v="71-80%"/>
        <s v="81-90%"/>
        <s v="91-100%"/>
      </sharedItems>
    </cacheField>
    <cacheField name="[student_habits_performance].[Study Hour].[Study Hour]" caption="Study Hour" numFmtId="0" hierarchy="16" level="1">
      <sharedItems containsSemiMixedTypes="0" containsNonDate="0" containsString="0"/>
    </cacheField>
    <cacheField name="[student_habits_performance].[gender].[gender]" caption="gender" numFmtId="0" hierarchy="2" level="1">
      <sharedItems containsSemiMixedTypes="0" containsNonDate="0" containsString="0"/>
    </cacheField>
    <cacheField name="[student_habits_performance].[Social Media].[Social Media]" caption="Social Media" numFmtId="0" hierarchy="17" level="1">
      <sharedItems containsSemiMixedTypes="0" containsNonDate="0" containsString="0"/>
    </cacheField>
  </cacheFields>
  <cacheHierarchies count="28">
    <cacheHierarchy uniqueName="[student_habits_performance].[student_id]" caption="student_id" attribute="1" defaultMemberUniqueName="[student_habits_performance].[student_id].[All]" allUniqueName="[student_habits_performance].[student_id].[All]" dimensionUniqueName="[student_habits_performance]" displayFolder="" count="0" memberValueDatatype="130" unbalanced="0"/>
    <cacheHierarchy uniqueName="[student_habits_performance].[age]" caption="age" attribute="1" defaultMemberUniqueName="[student_habits_performance].[age].[All]" allUniqueName="[student_habits_performance].[age].[All]" dimensionUniqueName="[student_habits_performance]" displayFolder="" count="0" memberValueDatatype="20" unbalanced="0"/>
    <cacheHierarchy uniqueName="[student_habits_performance].[gender]" caption="gender" attribute="1" defaultMemberUniqueName="[student_habits_performance].[gender].[All]" allUniqueName="[student_habits_performance].[gender].[All]" dimensionUniqueName="[student_habits_performance]" displayFolder="" count="2" memberValueDatatype="130" unbalanced="0">
      <fieldsUsage count="2">
        <fieldUsage x="-1"/>
        <fieldUsage x="4"/>
      </fieldsUsage>
    </cacheHierarchy>
    <cacheHierarchy uniqueName="[student_habits_performance].[study_hours_per_day]" caption="study_hours_per_day" attribute="1" defaultMemberUniqueName="[student_habits_performance].[study_hours_per_day].[All]" allUniqueName="[student_habits_performance].[study_hours_per_day].[All]" dimensionUniqueName="[student_habits_performance]" displayFolder="" count="0" memberValueDatatype="5" unbalanced="0"/>
    <cacheHierarchy uniqueName="[student_habits_performance].[social_media_hours]" caption="social_media_hours" attribute="1" defaultMemberUniqueName="[student_habits_performance].[social_media_hours].[All]" allUniqueName="[student_habits_performance].[social_media_hours].[All]" dimensionUniqueName="[student_habits_performance]" displayFolder="" count="0" memberValueDatatype="5" unbalanced="0"/>
    <cacheHierarchy uniqueName="[student_habits_performance].[netflix_hours]" caption="netflix_hours" attribute="1" defaultMemberUniqueName="[student_habits_performance].[netflix_hours].[All]" allUniqueName="[student_habits_performance].[netflix_hours].[All]" dimensionUniqueName="[student_habits_performance]" displayFolder="" count="0" memberValueDatatype="5" unbalanced="0"/>
    <cacheHierarchy uniqueName="[student_habits_performance].[part_time_job]" caption="part_time_job" attribute="1" defaultMemberUniqueName="[student_habits_performance].[part_time_job].[All]" allUniqueName="[student_habits_performance].[part_time_job].[All]" dimensionUniqueName="[student_habits_performance]" displayFolder="" count="0" memberValueDatatype="130" unbalanced="0"/>
    <cacheHierarchy uniqueName="[student_habits_performance].[attendance_percentage]" caption="attendance_percentage" attribute="1" defaultMemberUniqueName="[student_habits_performance].[attendance_percentage].[All]" allUniqueName="[student_habits_performance].[attendance_percentage].[All]" dimensionUniqueName="[student_habits_performance]" displayFolder="" count="0" memberValueDatatype="5" unbalanced="0"/>
    <cacheHierarchy uniqueName="[student_habits_performance].[sleep_hours]" caption="sleep_hours" attribute="1" defaultMemberUniqueName="[student_habits_performance].[sleep_hours].[All]" allUniqueName="[student_habits_performance].[sleep_hours].[All]" dimensionUniqueName="[student_habits_performance]" displayFolder="" count="0" memberValueDatatype="5" unbalanced="0"/>
    <cacheHierarchy uniqueName="[student_habits_performance].[diet_quality]" caption="diet_quality" attribute="1" defaultMemberUniqueName="[student_habits_performance].[diet_quality].[All]" allUniqueName="[student_habits_performance].[diet_quality].[All]" dimensionUniqueName="[student_habits_performance]" displayFolder="" count="0" memberValueDatatype="130" unbalanced="0"/>
    <cacheHierarchy uniqueName="[student_habits_performance].[exercise_frequency]" caption="exercise_frequency" attribute="1" defaultMemberUniqueName="[student_habits_performance].[exercise_frequency].[All]" allUniqueName="[student_habits_performance].[exercise_frequency].[All]" dimensionUniqueName="[student_habits_performance]" displayFolder="" count="0" memberValueDatatype="20" unbalanced="0"/>
    <cacheHierarchy uniqueName="[student_habits_performance].[parental_education_level]" caption="parental_education_level" attribute="1" defaultMemberUniqueName="[student_habits_performance].[parental_education_level].[All]" allUniqueName="[student_habits_performance].[parental_education_level].[All]" dimensionUniqueName="[student_habits_performance]" displayFolder="" count="0" memberValueDatatype="130" unbalanced="0"/>
    <cacheHierarchy uniqueName="[student_habits_performance].[internet_quality]" caption="internet_quality" attribute="1" defaultMemberUniqueName="[student_habits_performance].[internet_quality].[All]" allUniqueName="[student_habits_performance].[internet_quality].[All]" dimensionUniqueName="[student_habits_performance]" displayFolder="" count="0" memberValueDatatype="130" unbalanced="0"/>
    <cacheHierarchy uniqueName="[student_habits_performance].[mental_health_rating]" caption="mental_health_rating" attribute="1" defaultMemberUniqueName="[student_habits_performance].[mental_health_rating].[All]" allUniqueName="[student_habits_performance].[mental_health_rating].[All]" dimensionUniqueName="[student_habits_performance]" displayFolder="" count="0" memberValueDatatype="20" unbalanced="0"/>
    <cacheHierarchy uniqueName="[student_habits_performance].[extracurricular_participation]" caption="extracurricular_participation" attribute="1" defaultMemberUniqueName="[student_habits_performance].[extracurricular_participation].[All]" allUniqueName="[student_habits_performance].[extracurricular_participation].[All]" dimensionUniqueName="[student_habits_performance]" displayFolder="" count="0" memberValueDatatype="130" unbalanced="0"/>
    <cacheHierarchy uniqueName="[student_habits_performance].[exam_score]" caption="exam_score" attribute="1" defaultMemberUniqueName="[student_habits_performance].[exam_score].[All]" allUniqueName="[student_habits_performance].[exam_score].[All]" dimensionUniqueName="[student_habits_performance]" displayFolder="" count="0" memberValueDatatype="5" unbalanced="0"/>
    <cacheHierarchy uniqueName="[student_habits_performance].[Study Hour]" caption="Study Hour" attribute="1" defaultMemberUniqueName="[student_habits_performance].[Study Hour].[All]" allUniqueName="[student_habits_performance].[Study Hour].[All]" dimensionUniqueName="[student_habits_performance]" displayFolder="" count="2" memberValueDatatype="130" unbalanced="0">
      <fieldsUsage count="2">
        <fieldUsage x="-1"/>
        <fieldUsage x="3"/>
      </fieldsUsage>
    </cacheHierarchy>
    <cacheHierarchy uniqueName="[student_habits_performance].[Social Media]" caption="Social Media" attribute="1" defaultMemberUniqueName="[student_habits_performance].[Social Media].[All]" allUniqueName="[student_habits_performance].[Social Media].[All]" dimensionUniqueName="[student_habits_performance]" displayFolder="" count="2" memberValueDatatype="130" unbalanced="0">
      <fieldsUsage count="2">
        <fieldUsage x="-1"/>
        <fieldUsage x="5"/>
      </fieldsUsage>
    </cacheHierarchy>
    <cacheHierarchy uniqueName="[student_habits_performance].[Attendance]" caption="Attendance" attribute="1" defaultMemberUniqueName="[student_habits_performance].[Attendance].[All]" allUniqueName="[student_habits_performance].[Attendance].[All]" dimensionUniqueName="[student_habits_performance]" displayFolder="" count="2" memberValueDatatype="130" unbalanced="0">
      <fieldsUsage count="2">
        <fieldUsage x="-1"/>
        <fieldUsage x="2"/>
      </fieldsUsage>
    </cacheHierarchy>
    <cacheHierarchy uniqueName="[Measures].[Sum of exam_score]" caption="Sum of exam_score" measure="1" displayFolder="" measureGroup="student_habits_performance" count="0">
      <extLst>
        <ext xmlns:x15="http://schemas.microsoft.com/office/spreadsheetml/2010/11/main" uri="{B97F6D7D-B522-45F9-BDA1-12C45D357490}">
          <x15:cacheHierarchy aggregatedColumn="15"/>
        </ext>
      </extLst>
    </cacheHierarchy>
    <cacheHierarchy uniqueName="[Measures].[Average of exam_score]" caption="Average of exam_score" measure="1" displayFolder="" measureGroup="student_habits_performance" count="0" oneField="1">
      <fieldsUsage count="1">
        <fieldUsage x="0"/>
      </fieldsUsage>
      <extLst>
        <ext xmlns:x15="http://schemas.microsoft.com/office/spreadsheetml/2010/11/main" uri="{B97F6D7D-B522-45F9-BDA1-12C45D357490}">
          <x15:cacheHierarchy aggregatedColumn="15"/>
        </ext>
      </extLst>
    </cacheHierarchy>
    <cacheHierarchy uniqueName="[Measures].[Count of student_id]" caption="Count of student_id" measure="1" displayFolder="" measureGroup="student_habits_performance" count="0" oneField="1">
      <fieldsUsage count="1">
        <fieldUsage x="1"/>
      </fieldsUsage>
      <extLst>
        <ext xmlns:x15="http://schemas.microsoft.com/office/spreadsheetml/2010/11/main" uri="{B97F6D7D-B522-45F9-BDA1-12C45D357490}">
          <x15:cacheHierarchy aggregatedColumn="0"/>
        </ext>
      </extLst>
    </cacheHierarchy>
    <cacheHierarchy uniqueName="[Measures].[Total Students]" caption="Total Students" measure="1" displayFolder="" measureGroup="student_habits_performance" count="0"/>
    <cacheHierarchy uniqueName="[Measures].[Avg Exam Score]" caption="Avg Exam Score" measure="1" displayFolder="" measureGroup="student_habits_performance" count="0"/>
    <cacheHierarchy uniqueName="[Measures].[Avg Study Hrs/Day]" caption="Avg Study Hrs/Day" measure="1" displayFolder="" measureGroup="student_habits_performance" count="0"/>
    <cacheHierarchy uniqueName="[Measures].[Avg Attendance Rate]" caption="Avg Attendance Rate" measure="1" displayFolder="" measureGroup="student_habits_performance" count="0"/>
    <cacheHierarchy uniqueName="[Measures].[__XL_Count student_habits_performance]" caption="__XL_Count student_habits_performance" measure="1" displayFolder="" measureGroup="student_habits_performance" count="0" hidden="1"/>
    <cacheHierarchy uniqueName="[Measures].[__No measures defined]" caption="__No measures defined" measure="1" displayFolder="" count="0" hidden="1"/>
  </cacheHierarchies>
  <kpis count="0"/>
  <dimensions count="2">
    <dimension measure="1" name="Measures" uniqueName="[Measures]" caption="Measures"/>
    <dimension name="student_habits_performance" uniqueName="[student_habits_performance]" caption="student_habits_performance"/>
  </dimensions>
  <measureGroups count="1">
    <measureGroup name="student_habits_performance" caption="student_habits_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 daacad" refreshedDate="46166.726664814814" backgroundQuery="1" createdVersion="8" refreshedVersion="8" minRefreshableVersion="3" recordCount="0" supportSubquery="1" supportAdvancedDrill="1" xr:uid="{9DF609D4-C26A-4C8D-8EDF-4F74D52B7F70}">
  <cacheSource type="external" connectionId="2"/>
  <cacheFields count="6">
    <cacheField name="[Measures].[Average of exam_score]" caption="Average of exam_score" numFmtId="0" hierarchy="20" level="32767"/>
    <cacheField name="[Measures].[Count of student_id]" caption="Count of student_id" numFmtId="0" hierarchy="21" level="32767"/>
    <cacheField name="[student_habits_performance].[Social Media].[Social Media]" caption="Social Media" numFmtId="0" hierarchy="17" level="1">
      <sharedItems count="5">
        <s v="0-1hrs"/>
        <s v="1-2hrs"/>
        <s v="2-3hrs"/>
        <s v="3-4hrs"/>
        <s v="4+hrs"/>
      </sharedItems>
    </cacheField>
    <cacheField name="[student_habits_performance].[Study Hour].[Study Hour]" caption="Study Hour" numFmtId="0" hierarchy="16" level="1">
      <sharedItems containsSemiMixedTypes="0" containsNonDate="0" containsString="0"/>
    </cacheField>
    <cacheField name="[student_habits_performance].[gender].[gender]" caption="gender" numFmtId="0" hierarchy="2" level="1">
      <sharedItems containsSemiMixedTypes="0" containsNonDate="0" containsString="0"/>
    </cacheField>
    <cacheField name="[student_habits_performance].[Attendance].[Attendance]" caption="Attendance" numFmtId="0" hierarchy="18" level="1">
      <sharedItems containsSemiMixedTypes="0" containsNonDate="0" containsString="0"/>
    </cacheField>
  </cacheFields>
  <cacheHierarchies count="28">
    <cacheHierarchy uniqueName="[student_habits_performance].[student_id]" caption="student_id" attribute="1" defaultMemberUniqueName="[student_habits_performance].[student_id].[All]" allUniqueName="[student_habits_performance].[student_id].[All]" dimensionUniqueName="[student_habits_performance]" displayFolder="" count="0" memberValueDatatype="130" unbalanced="0"/>
    <cacheHierarchy uniqueName="[student_habits_performance].[age]" caption="age" attribute="1" defaultMemberUniqueName="[student_habits_performance].[age].[All]" allUniqueName="[student_habits_performance].[age].[All]" dimensionUniqueName="[student_habits_performance]" displayFolder="" count="0" memberValueDatatype="20" unbalanced="0"/>
    <cacheHierarchy uniqueName="[student_habits_performance].[gender]" caption="gender" attribute="1" defaultMemberUniqueName="[student_habits_performance].[gender].[All]" allUniqueName="[student_habits_performance].[gender].[All]" dimensionUniqueName="[student_habits_performance]" displayFolder="" count="2" memberValueDatatype="130" unbalanced="0">
      <fieldsUsage count="2">
        <fieldUsage x="-1"/>
        <fieldUsage x="4"/>
      </fieldsUsage>
    </cacheHierarchy>
    <cacheHierarchy uniqueName="[student_habits_performance].[study_hours_per_day]" caption="study_hours_per_day" attribute="1" defaultMemberUniqueName="[student_habits_performance].[study_hours_per_day].[All]" allUniqueName="[student_habits_performance].[study_hours_per_day].[All]" dimensionUniqueName="[student_habits_performance]" displayFolder="" count="0" memberValueDatatype="5" unbalanced="0"/>
    <cacheHierarchy uniqueName="[student_habits_performance].[social_media_hours]" caption="social_media_hours" attribute="1" defaultMemberUniqueName="[student_habits_performance].[social_media_hours].[All]" allUniqueName="[student_habits_performance].[social_media_hours].[All]" dimensionUniqueName="[student_habits_performance]" displayFolder="" count="0" memberValueDatatype="5" unbalanced="0"/>
    <cacheHierarchy uniqueName="[student_habits_performance].[netflix_hours]" caption="netflix_hours" attribute="1" defaultMemberUniqueName="[student_habits_performance].[netflix_hours].[All]" allUniqueName="[student_habits_performance].[netflix_hours].[All]" dimensionUniqueName="[student_habits_performance]" displayFolder="" count="0" memberValueDatatype="5" unbalanced="0"/>
    <cacheHierarchy uniqueName="[student_habits_performance].[part_time_job]" caption="part_time_job" attribute="1" defaultMemberUniqueName="[student_habits_performance].[part_time_job].[All]" allUniqueName="[student_habits_performance].[part_time_job].[All]" dimensionUniqueName="[student_habits_performance]" displayFolder="" count="0" memberValueDatatype="130" unbalanced="0"/>
    <cacheHierarchy uniqueName="[student_habits_performance].[attendance_percentage]" caption="attendance_percentage" attribute="1" defaultMemberUniqueName="[student_habits_performance].[attendance_percentage].[All]" allUniqueName="[student_habits_performance].[attendance_percentage].[All]" dimensionUniqueName="[student_habits_performance]" displayFolder="" count="0" memberValueDatatype="5" unbalanced="0"/>
    <cacheHierarchy uniqueName="[student_habits_performance].[sleep_hours]" caption="sleep_hours" attribute="1" defaultMemberUniqueName="[student_habits_performance].[sleep_hours].[All]" allUniqueName="[student_habits_performance].[sleep_hours].[All]" dimensionUniqueName="[student_habits_performance]" displayFolder="" count="0" memberValueDatatype="5" unbalanced="0"/>
    <cacheHierarchy uniqueName="[student_habits_performance].[diet_quality]" caption="diet_quality" attribute="1" defaultMemberUniqueName="[student_habits_performance].[diet_quality].[All]" allUniqueName="[student_habits_performance].[diet_quality].[All]" dimensionUniqueName="[student_habits_performance]" displayFolder="" count="0" memberValueDatatype="130" unbalanced="0"/>
    <cacheHierarchy uniqueName="[student_habits_performance].[exercise_frequency]" caption="exercise_frequency" attribute="1" defaultMemberUniqueName="[student_habits_performance].[exercise_frequency].[All]" allUniqueName="[student_habits_performance].[exercise_frequency].[All]" dimensionUniqueName="[student_habits_performance]" displayFolder="" count="0" memberValueDatatype="20" unbalanced="0"/>
    <cacheHierarchy uniqueName="[student_habits_performance].[parental_education_level]" caption="parental_education_level" attribute="1" defaultMemberUniqueName="[student_habits_performance].[parental_education_level].[All]" allUniqueName="[student_habits_performance].[parental_education_level].[All]" dimensionUniqueName="[student_habits_performance]" displayFolder="" count="0" memberValueDatatype="130" unbalanced="0"/>
    <cacheHierarchy uniqueName="[student_habits_performance].[internet_quality]" caption="internet_quality" attribute="1" defaultMemberUniqueName="[student_habits_performance].[internet_quality].[All]" allUniqueName="[student_habits_performance].[internet_quality].[All]" dimensionUniqueName="[student_habits_performance]" displayFolder="" count="0" memberValueDatatype="130" unbalanced="0"/>
    <cacheHierarchy uniqueName="[student_habits_performance].[mental_health_rating]" caption="mental_health_rating" attribute="1" defaultMemberUniqueName="[student_habits_performance].[mental_health_rating].[All]" allUniqueName="[student_habits_performance].[mental_health_rating].[All]" dimensionUniqueName="[student_habits_performance]" displayFolder="" count="0" memberValueDatatype="20" unbalanced="0"/>
    <cacheHierarchy uniqueName="[student_habits_performance].[extracurricular_participation]" caption="extracurricular_participation" attribute="1" defaultMemberUniqueName="[student_habits_performance].[extracurricular_participation].[All]" allUniqueName="[student_habits_performance].[extracurricular_participation].[All]" dimensionUniqueName="[student_habits_performance]" displayFolder="" count="0" memberValueDatatype="130" unbalanced="0"/>
    <cacheHierarchy uniqueName="[student_habits_performance].[exam_score]" caption="exam_score" attribute="1" defaultMemberUniqueName="[student_habits_performance].[exam_score].[All]" allUniqueName="[student_habits_performance].[exam_score].[All]" dimensionUniqueName="[student_habits_performance]" displayFolder="" count="0" memberValueDatatype="5" unbalanced="0"/>
    <cacheHierarchy uniqueName="[student_habits_performance].[Study Hour]" caption="Study Hour" attribute="1" defaultMemberUniqueName="[student_habits_performance].[Study Hour].[All]" allUniqueName="[student_habits_performance].[Study Hour].[All]" dimensionUniqueName="[student_habits_performance]" displayFolder="" count="2" memberValueDatatype="130" unbalanced="0">
      <fieldsUsage count="2">
        <fieldUsage x="-1"/>
        <fieldUsage x="3"/>
      </fieldsUsage>
    </cacheHierarchy>
    <cacheHierarchy uniqueName="[student_habits_performance].[Social Media]" caption="Social Media" attribute="1" defaultMemberUniqueName="[student_habits_performance].[Social Media].[All]" allUniqueName="[student_habits_performance].[Social Media].[All]" dimensionUniqueName="[student_habits_performance]" displayFolder="" count="2" memberValueDatatype="130" unbalanced="0">
      <fieldsUsage count="2">
        <fieldUsage x="-1"/>
        <fieldUsage x="2"/>
      </fieldsUsage>
    </cacheHierarchy>
    <cacheHierarchy uniqueName="[student_habits_performance].[Attendance]" caption="Attendance" attribute="1" defaultMemberUniqueName="[student_habits_performance].[Attendance].[All]" allUniqueName="[student_habits_performance].[Attendance].[All]" dimensionUniqueName="[student_habits_performance]" displayFolder="" count="2" memberValueDatatype="130" unbalanced="0">
      <fieldsUsage count="2">
        <fieldUsage x="-1"/>
        <fieldUsage x="5"/>
      </fieldsUsage>
    </cacheHierarchy>
    <cacheHierarchy uniqueName="[Measures].[Sum of exam_score]" caption="Sum of exam_score" measure="1" displayFolder="" measureGroup="student_habits_performance" count="0">
      <extLst>
        <ext xmlns:x15="http://schemas.microsoft.com/office/spreadsheetml/2010/11/main" uri="{B97F6D7D-B522-45F9-BDA1-12C45D357490}">
          <x15:cacheHierarchy aggregatedColumn="15"/>
        </ext>
      </extLst>
    </cacheHierarchy>
    <cacheHierarchy uniqueName="[Measures].[Average of exam_score]" caption="Average of exam_score" measure="1" displayFolder="" measureGroup="student_habits_performance" count="0" oneField="1">
      <fieldsUsage count="1">
        <fieldUsage x="0"/>
      </fieldsUsage>
      <extLst>
        <ext xmlns:x15="http://schemas.microsoft.com/office/spreadsheetml/2010/11/main" uri="{B97F6D7D-B522-45F9-BDA1-12C45D357490}">
          <x15:cacheHierarchy aggregatedColumn="15"/>
        </ext>
      </extLst>
    </cacheHierarchy>
    <cacheHierarchy uniqueName="[Measures].[Count of student_id]" caption="Count of student_id" measure="1" displayFolder="" measureGroup="student_habits_performance" count="0" oneField="1">
      <fieldsUsage count="1">
        <fieldUsage x="1"/>
      </fieldsUsage>
      <extLst>
        <ext xmlns:x15="http://schemas.microsoft.com/office/spreadsheetml/2010/11/main" uri="{B97F6D7D-B522-45F9-BDA1-12C45D357490}">
          <x15:cacheHierarchy aggregatedColumn="0"/>
        </ext>
      </extLst>
    </cacheHierarchy>
    <cacheHierarchy uniqueName="[Measures].[Total Students]" caption="Total Students" measure="1" displayFolder="" measureGroup="student_habits_performance" count="0"/>
    <cacheHierarchy uniqueName="[Measures].[Avg Exam Score]" caption="Avg Exam Score" measure="1" displayFolder="" measureGroup="student_habits_performance" count="0"/>
    <cacheHierarchy uniqueName="[Measures].[Avg Study Hrs/Day]" caption="Avg Study Hrs/Day" measure="1" displayFolder="" measureGroup="student_habits_performance" count="0"/>
    <cacheHierarchy uniqueName="[Measures].[Avg Attendance Rate]" caption="Avg Attendance Rate" measure="1" displayFolder="" measureGroup="student_habits_performance" count="0"/>
    <cacheHierarchy uniqueName="[Measures].[__XL_Count student_habits_performance]" caption="__XL_Count student_habits_performance" measure="1" displayFolder="" measureGroup="student_habits_performance" count="0" hidden="1"/>
    <cacheHierarchy uniqueName="[Measures].[__No measures defined]" caption="__No measures defined" measure="1" displayFolder="" count="0" hidden="1"/>
  </cacheHierarchies>
  <kpis count="0"/>
  <dimensions count="2">
    <dimension measure="1" name="Measures" uniqueName="[Measures]" caption="Measures"/>
    <dimension name="student_habits_performance" uniqueName="[student_habits_performance]" caption="student_habits_performance"/>
  </dimensions>
  <measureGroups count="1">
    <measureGroup name="student_habits_performance" caption="student_habits_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 daacad" refreshedDate="46166.726667939816" backgroundQuery="1" createdVersion="8" refreshedVersion="8" minRefreshableVersion="3" recordCount="0" supportSubquery="1" supportAdvancedDrill="1" xr:uid="{C15DBE87-A3B5-4E0A-9287-39D0C32D4ED9}">
  <cacheSource type="external" connectionId="2"/>
  <cacheFields count="5">
    <cacheField name="[Measures].[Average of exam_score]" caption="Average of exam_score" numFmtId="0" hierarchy="20" level="32767"/>
    <cacheField name="[student_habits_performance].[Social Media].[Social Media]" caption="Social Media" numFmtId="0" hierarchy="17" level="1">
      <sharedItems count="5">
        <s v="0-1hrs"/>
        <s v="1-2hrs"/>
        <s v="2-3hrs"/>
        <s v="3-4hrs"/>
        <s v="4+hrs"/>
      </sharedItems>
    </cacheField>
    <cacheField name="[student_habits_performance].[Study Hour].[Study Hour]" caption="Study Hour" numFmtId="0" hierarchy="16" level="1">
      <sharedItems containsSemiMixedTypes="0" containsNonDate="0" containsString="0"/>
    </cacheField>
    <cacheField name="[student_habits_performance].[gender].[gender]" caption="gender" numFmtId="0" hierarchy="2" level="1">
      <sharedItems containsSemiMixedTypes="0" containsNonDate="0" containsString="0"/>
    </cacheField>
    <cacheField name="[student_habits_performance].[Attendance].[Attendance]" caption="Attendance" numFmtId="0" hierarchy="18" level="1">
      <sharedItems containsSemiMixedTypes="0" containsNonDate="0" containsString="0"/>
    </cacheField>
  </cacheFields>
  <cacheHierarchies count="28">
    <cacheHierarchy uniqueName="[student_habits_performance].[student_id]" caption="student_id" attribute="1" defaultMemberUniqueName="[student_habits_performance].[student_id].[All]" allUniqueName="[student_habits_performance].[student_id].[All]" dimensionUniqueName="[student_habits_performance]" displayFolder="" count="0" memberValueDatatype="130" unbalanced="0"/>
    <cacheHierarchy uniqueName="[student_habits_performance].[age]" caption="age" attribute="1" defaultMemberUniqueName="[student_habits_performance].[age].[All]" allUniqueName="[student_habits_performance].[age].[All]" dimensionUniqueName="[student_habits_performance]" displayFolder="" count="0" memberValueDatatype="20" unbalanced="0"/>
    <cacheHierarchy uniqueName="[student_habits_performance].[gender]" caption="gender" attribute="1" defaultMemberUniqueName="[student_habits_performance].[gender].[All]" allUniqueName="[student_habits_performance].[gender].[All]" dimensionUniqueName="[student_habits_performance]" displayFolder="" count="2" memberValueDatatype="130" unbalanced="0">
      <fieldsUsage count="2">
        <fieldUsage x="-1"/>
        <fieldUsage x="3"/>
      </fieldsUsage>
    </cacheHierarchy>
    <cacheHierarchy uniqueName="[student_habits_performance].[study_hours_per_day]" caption="study_hours_per_day" attribute="1" defaultMemberUniqueName="[student_habits_performance].[study_hours_per_day].[All]" allUniqueName="[student_habits_performance].[study_hours_per_day].[All]" dimensionUniqueName="[student_habits_performance]" displayFolder="" count="0" memberValueDatatype="5" unbalanced="0"/>
    <cacheHierarchy uniqueName="[student_habits_performance].[social_media_hours]" caption="social_media_hours" attribute="1" defaultMemberUniqueName="[student_habits_performance].[social_media_hours].[All]" allUniqueName="[student_habits_performance].[social_media_hours].[All]" dimensionUniqueName="[student_habits_performance]" displayFolder="" count="0" memberValueDatatype="5" unbalanced="0"/>
    <cacheHierarchy uniqueName="[student_habits_performance].[netflix_hours]" caption="netflix_hours" attribute="1" defaultMemberUniqueName="[student_habits_performance].[netflix_hours].[All]" allUniqueName="[student_habits_performance].[netflix_hours].[All]" dimensionUniqueName="[student_habits_performance]" displayFolder="" count="0" memberValueDatatype="5" unbalanced="0"/>
    <cacheHierarchy uniqueName="[student_habits_performance].[part_time_job]" caption="part_time_job" attribute="1" defaultMemberUniqueName="[student_habits_performance].[part_time_job].[All]" allUniqueName="[student_habits_performance].[part_time_job].[All]" dimensionUniqueName="[student_habits_performance]" displayFolder="" count="0" memberValueDatatype="130" unbalanced="0"/>
    <cacheHierarchy uniqueName="[student_habits_performance].[attendance_percentage]" caption="attendance_percentage" attribute="1" defaultMemberUniqueName="[student_habits_performance].[attendance_percentage].[All]" allUniqueName="[student_habits_performance].[attendance_percentage].[All]" dimensionUniqueName="[student_habits_performance]" displayFolder="" count="0" memberValueDatatype="5" unbalanced="0"/>
    <cacheHierarchy uniqueName="[student_habits_performance].[sleep_hours]" caption="sleep_hours" attribute="1" defaultMemberUniqueName="[student_habits_performance].[sleep_hours].[All]" allUniqueName="[student_habits_performance].[sleep_hours].[All]" dimensionUniqueName="[student_habits_performance]" displayFolder="" count="0" memberValueDatatype="5" unbalanced="0"/>
    <cacheHierarchy uniqueName="[student_habits_performance].[diet_quality]" caption="diet_quality" attribute="1" defaultMemberUniqueName="[student_habits_performance].[diet_quality].[All]" allUniqueName="[student_habits_performance].[diet_quality].[All]" dimensionUniqueName="[student_habits_performance]" displayFolder="" count="0" memberValueDatatype="130" unbalanced="0"/>
    <cacheHierarchy uniqueName="[student_habits_performance].[exercise_frequency]" caption="exercise_frequency" attribute="1" defaultMemberUniqueName="[student_habits_performance].[exercise_frequency].[All]" allUniqueName="[student_habits_performance].[exercise_frequency].[All]" dimensionUniqueName="[student_habits_performance]" displayFolder="" count="0" memberValueDatatype="20" unbalanced="0"/>
    <cacheHierarchy uniqueName="[student_habits_performance].[parental_education_level]" caption="parental_education_level" attribute="1" defaultMemberUniqueName="[student_habits_performance].[parental_education_level].[All]" allUniqueName="[student_habits_performance].[parental_education_level].[All]" dimensionUniqueName="[student_habits_performance]" displayFolder="" count="0" memberValueDatatype="130" unbalanced="0"/>
    <cacheHierarchy uniqueName="[student_habits_performance].[internet_quality]" caption="internet_quality" attribute="1" defaultMemberUniqueName="[student_habits_performance].[internet_quality].[All]" allUniqueName="[student_habits_performance].[internet_quality].[All]" dimensionUniqueName="[student_habits_performance]" displayFolder="" count="0" memberValueDatatype="130" unbalanced="0"/>
    <cacheHierarchy uniqueName="[student_habits_performance].[mental_health_rating]" caption="mental_health_rating" attribute="1" defaultMemberUniqueName="[student_habits_performance].[mental_health_rating].[All]" allUniqueName="[student_habits_performance].[mental_health_rating].[All]" dimensionUniqueName="[student_habits_performance]" displayFolder="" count="0" memberValueDatatype="20" unbalanced="0"/>
    <cacheHierarchy uniqueName="[student_habits_performance].[extracurricular_participation]" caption="extracurricular_participation" attribute="1" defaultMemberUniqueName="[student_habits_performance].[extracurricular_participation].[All]" allUniqueName="[student_habits_performance].[extracurricular_participation].[All]" dimensionUniqueName="[student_habits_performance]" displayFolder="" count="0" memberValueDatatype="130" unbalanced="0"/>
    <cacheHierarchy uniqueName="[student_habits_performance].[exam_score]" caption="exam_score" attribute="1" defaultMemberUniqueName="[student_habits_performance].[exam_score].[All]" allUniqueName="[student_habits_performance].[exam_score].[All]" dimensionUniqueName="[student_habits_performance]" displayFolder="" count="0" memberValueDatatype="5" unbalanced="0"/>
    <cacheHierarchy uniqueName="[student_habits_performance].[Study Hour]" caption="Study Hour" attribute="1" defaultMemberUniqueName="[student_habits_performance].[Study Hour].[All]" allUniqueName="[student_habits_performance].[Study Hour].[All]" dimensionUniqueName="[student_habits_performance]" displayFolder="" count="2" memberValueDatatype="130" unbalanced="0">
      <fieldsUsage count="2">
        <fieldUsage x="-1"/>
        <fieldUsage x="2"/>
      </fieldsUsage>
    </cacheHierarchy>
    <cacheHierarchy uniqueName="[student_habits_performance].[Social Media]" caption="Social Media" attribute="1" defaultMemberUniqueName="[student_habits_performance].[Social Media].[All]" allUniqueName="[student_habits_performance].[Social Media].[All]" dimensionUniqueName="[student_habits_performance]" displayFolder="" count="2" memberValueDatatype="130" unbalanced="0">
      <fieldsUsage count="2">
        <fieldUsage x="-1"/>
        <fieldUsage x="1"/>
      </fieldsUsage>
    </cacheHierarchy>
    <cacheHierarchy uniqueName="[student_habits_performance].[Attendance]" caption="Attendance" attribute="1" defaultMemberUniqueName="[student_habits_performance].[Attendance].[All]" allUniqueName="[student_habits_performance].[Attendance].[All]" dimensionUniqueName="[student_habits_performance]" displayFolder="" count="2" memberValueDatatype="130" unbalanced="0">
      <fieldsUsage count="2">
        <fieldUsage x="-1"/>
        <fieldUsage x="4"/>
      </fieldsUsage>
    </cacheHierarchy>
    <cacheHierarchy uniqueName="[Measures].[Sum of exam_score]" caption="Sum of exam_score" measure="1" displayFolder="" measureGroup="student_habits_performance" count="0">
      <extLst>
        <ext xmlns:x15="http://schemas.microsoft.com/office/spreadsheetml/2010/11/main" uri="{B97F6D7D-B522-45F9-BDA1-12C45D357490}">
          <x15:cacheHierarchy aggregatedColumn="15"/>
        </ext>
      </extLst>
    </cacheHierarchy>
    <cacheHierarchy uniqueName="[Measures].[Average of exam_score]" caption="Average of exam_score" measure="1" displayFolder="" measureGroup="student_habits_performance" count="0" oneField="1">
      <fieldsUsage count="1">
        <fieldUsage x="0"/>
      </fieldsUsage>
      <extLst>
        <ext xmlns:x15="http://schemas.microsoft.com/office/spreadsheetml/2010/11/main" uri="{B97F6D7D-B522-45F9-BDA1-12C45D357490}">
          <x15:cacheHierarchy aggregatedColumn="15"/>
        </ext>
      </extLst>
    </cacheHierarchy>
    <cacheHierarchy uniqueName="[Measures].[Count of student_id]" caption="Count of student_id" measure="1" displayFolder="" measureGroup="student_habits_performance" count="0">
      <extLst>
        <ext xmlns:x15="http://schemas.microsoft.com/office/spreadsheetml/2010/11/main" uri="{B97F6D7D-B522-45F9-BDA1-12C45D357490}">
          <x15:cacheHierarchy aggregatedColumn="0"/>
        </ext>
      </extLst>
    </cacheHierarchy>
    <cacheHierarchy uniqueName="[Measures].[Total Students]" caption="Total Students" measure="1" displayFolder="" measureGroup="student_habits_performance" count="0"/>
    <cacheHierarchy uniqueName="[Measures].[Avg Exam Score]" caption="Avg Exam Score" measure="1" displayFolder="" measureGroup="student_habits_performance" count="0"/>
    <cacheHierarchy uniqueName="[Measures].[Avg Study Hrs/Day]" caption="Avg Study Hrs/Day" measure="1" displayFolder="" measureGroup="student_habits_performance" count="0"/>
    <cacheHierarchy uniqueName="[Measures].[Avg Attendance Rate]" caption="Avg Attendance Rate" measure="1" displayFolder="" measureGroup="student_habits_performance" count="0"/>
    <cacheHierarchy uniqueName="[Measures].[__XL_Count student_habits_performance]" caption="__XL_Count student_habits_performance" measure="1" displayFolder="" measureGroup="student_habits_performance" count="0" hidden="1"/>
    <cacheHierarchy uniqueName="[Measures].[__No measures defined]" caption="__No measures defined" measure="1" displayFolder="" count="0" hidden="1"/>
  </cacheHierarchies>
  <kpis count="0"/>
  <dimensions count="2">
    <dimension measure="1" name="Measures" uniqueName="[Measures]" caption="Measures"/>
    <dimension name="student_habits_performance" uniqueName="[student_habits_performance]" caption="student_habits_performance"/>
  </dimensions>
  <measureGroups count="1">
    <measureGroup name="student_habits_performance" caption="student_habits_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 daacad" refreshedDate="46166.726670717595" backgroundQuery="1" createdVersion="8" refreshedVersion="8" minRefreshableVersion="3" recordCount="0" supportSubquery="1" supportAdvancedDrill="1" xr:uid="{DADC8FCF-FC1F-446C-82AA-F221804CF62D}">
  <cacheSource type="external" connectionId="2"/>
  <cacheFields count="5">
    <cacheField name="[Measures].[Average of exam_score]" caption="Average of exam_score" numFmtId="0" hierarchy="20" level="32767"/>
    <cacheField name="[student_habits_performance].[Attendance].[Attendance]" caption="Attendance" numFmtId="0" hierarchy="18" level="1">
      <sharedItems count="5">
        <s v="0-60%"/>
        <s v="61-70%"/>
        <s v="71-80%"/>
        <s v="81-90%"/>
        <s v="91-100%"/>
      </sharedItems>
    </cacheField>
    <cacheField name="[student_habits_performance].[Study Hour].[Study Hour]" caption="Study Hour" numFmtId="0" hierarchy="16" level="1">
      <sharedItems containsSemiMixedTypes="0" containsNonDate="0" containsString="0"/>
    </cacheField>
    <cacheField name="[student_habits_performance].[gender].[gender]" caption="gender" numFmtId="0" hierarchy="2" level="1">
      <sharedItems containsSemiMixedTypes="0" containsNonDate="0" containsString="0"/>
    </cacheField>
    <cacheField name="[student_habits_performance].[Social Media].[Social Media]" caption="Social Media" numFmtId="0" hierarchy="17" level="1">
      <sharedItems containsSemiMixedTypes="0" containsNonDate="0" containsString="0"/>
    </cacheField>
  </cacheFields>
  <cacheHierarchies count="28">
    <cacheHierarchy uniqueName="[student_habits_performance].[student_id]" caption="student_id" attribute="1" defaultMemberUniqueName="[student_habits_performance].[student_id].[All]" allUniqueName="[student_habits_performance].[student_id].[All]" dimensionUniqueName="[student_habits_performance]" displayFolder="" count="0" memberValueDatatype="130" unbalanced="0"/>
    <cacheHierarchy uniqueName="[student_habits_performance].[age]" caption="age" attribute="1" defaultMemberUniqueName="[student_habits_performance].[age].[All]" allUniqueName="[student_habits_performance].[age].[All]" dimensionUniqueName="[student_habits_performance]" displayFolder="" count="0" memberValueDatatype="20" unbalanced="0"/>
    <cacheHierarchy uniqueName="[student_habits_performance].[gender]" caption="gender" attribute="1" defaultMemberUniqueName="[student_habits_performance].[gender].[All]" allUniqueName="[student_habits_performance].[gender].[All]" dimensionUniqueName="[student_habits_performance]" displayFolder="" count="2" memberValueDatatype="130" unbalanced="0">
      <fieldsUsage count="2">
        <fieldUsage x="-1"/>
        <fieldUsage x="3"/>
      </fieldsUsage>
    </cacheHierarchy>
    <cacheHierarchy uniqueName="[student_habits_performance].[study_hours_per_day]" caption="study_hours_per_day" attribute="1" defaultMemberUniqueName="[student_habits_performance].[study_hours_per_day].[All]" allUniqueName="[student_habits_performance].[study_hours_per_day].[All]" dimensionUniqueName="[student_habits_performance]" displayFolder="" count="0" memberValueDatatype="5" unbalanced="0"/>
    <cacheHierarchy uniqueName="[student_habits_performance].[social_media_hours]" caption="social_media_hours" attribute="1" defaultMemberUniqueName="[student_habits_performance].[social_media_hours].[All]" allUniqueName="[student_habits_performance].[social_media_hours].[All]" dimensionUniqueName="[student_habits_performance]" displayFolder="" count="0" memberValueDatatype="5" unbalanced="0"/>
    <cacheHierarchy uniqueName="[student_habits_performance].[netflix_hours]" caption="netflix_hours" attribute="1" defaultMemberUniqueName="[student_habits_performance].[netflix_hours].[All]" allUniqueName="[student_habits_performance].[netflix_hours].[All]" dimensionUniqueName="[student_habits_performance]" displayFolder="" count="0" memberValueDatatype="5" unbalanced="0"/>
    <cacheHierarchy uniqueName="[student_habits_performance].[part_time_job]" caption="part_time_job" attribute="1" defaultMemberUniqueName="[student_habits_performance].[part_time_job].[All]" allUniqueName="[student_habits_performance].[part_time_job].[All]" dimensionUniqueName="[student_habits_performance]" displayFolder="" count="0" memberValueDatatype="130" unbalanced="0"/>
    <cacheHierarchy uniqueName="[student_habits_performance].[attendance_percentage]" caption="attendance_percentage" attribute="1" defaultMemberUniqueName="[student_habits_performance].[attendance_percentage].[All]" allUniqueName="[student_habits_performance].[attendance_percentage].[All]" dimensionUniqueName="[student_habits_performance]" displayFolder="" count="0" memberValueDatatype="5" unbalanced="0"/>
    <cacheHierarchy uniqueName="[student_habits_performance].[sleep_hours]" caption="sleep_hours" attribute="1" defaultMemberUniqueName="[student_habits_performance].[sleep_hours].[All]" allUniqueName="[student_habits_performance].[sleep_hours].[All]" dimensionUniqueName="[student_habits_performance]" displayFolder="" count="0" memberValueDatatype="5" unbalanced="0"/>
    <cacheHierarchy uniqueName="[student_habits_performance].[diet_quality]" caption="diet_quality" attribute="1" defaultMemberUniqueName="[student_habits_performance].[diet_quality].[All]" allUniqueName="[student_habits_performance].[diet_quality].[All]" dimensionUniqueName="[student_habits_performance]" displayFolder="" count="0" memberValueDatatype="130" unbalanced="0"/>
    <cacheHierarchy uniqueName="[student_habits_performance].[exercise_frequency]" caption="exercise_frequency" attribute="1" defaultMemberUniqueName="[student_habits_performance].[exercise_frequency].[All]" allUniqueName="[student_habits_performance].[exercise_frequency].[All]" dimensionUniqueName="[student_habits_performance]" displayFolder="" count="0" memberValueDatatype="20" unbalanced="0"/>
    <cacheHierarchy uniqueName="[student_habits_performance].[parental_education_level]" caption="parental_education_level" attribute="1" defaultMemberUniqueName="[student_habits_performance].[parental_education_level].[All]" allUniqueName="[student_habits_performance].[parental_education_level].[All]" dimensionUniqueName="[student_habits_performance]" displayFolder="" count="0" memberValueDatatype="130" unbalanced="0"/>
    <cacheHierarchy uniqueName="[student_habits_performance].[internet_quality]" caption="internet_quality" attribute="1" defaultMemberUniqueName="[student_habits_performance].[internet_quality].[All]" allUniqueName="[student_habits_performance].[internet_quality].[All]" dimensionUniqueName="[student_habits_performance]" displayFolder="" count="0" memberValueDatatype="130" unbalanced="0"/>
    <cacheHierarchy uniqueName="[student_habits_performance].[mental_health_rating]" caption="mental_health_rating" attribute="1" defaultMemberUniqueName="[student_habits_performance].[mental_health_rating].[All]" allUniqueName="[student_habits_performance].[mental_health_rating].[All]" dimensionUniqueName="[student_habits_performance]" displayFolder="" count="0" memberValueDatatype="20" unbalanced="0"/>
    <cacheHierarchy uniqueName="[student_habits_performance].[extracurricular_participation]" caption="extracurricular_participation" attribute="1" defaultMemberUniqueName="[student_habits_performance].[extracurricular_participation].[All]" allUniqueName="[student_habits_performance].[extracurricular_participation].[All]" dimensionUniqueName="[student_habits_performance]" displayFolder="" count="0" memberValueDatatype="130" unbalanced="0"/>
    <cacheHierarchy uniqueName="[student_habits_performance].[exam_score]" caption="exam_score" attribute="1" defaultMemberUniqueName="[student_habits_performance].[exam_score].[All]" allUniqueName="[student_habits_performance].[exam_score].[All]" dimensionUniqueName="[student_habits_performance]" displayFolder="" count="0" memberValueDatatype="5" unbalanced="0"/>
    <cacheHierarchy uniqueName="[student_habits_performance].[Study Hour]" caption="Study Hour" attribute="1" defaultMemberUniqueName="[student_habits_performance].[Study Hour].[All]" allUniqueName="[student_habits_performance].[Study Hour].[All]" dimensionUniqueName="[student_habits_performance]" displayFolder="" count="2" memberValueDatatype="130" unbalanced="0">
      <fieldsUsage count="2">
        <fieldUsage x="-1"/>
        <fieldUsage x="2"/>
      </fieldsUsage>
    </cacheHierarchy>
    <cacheHierarchy uniqueName="[student_habits_performance].[Social Media]" caption="Social Media" attribute="1" defaultMemberUniqueName="[student_habits_performance].[Social Media].[All]" allUniqueName="[student_habits_performance].[Social Media].[All]" dimensionUniqueName="[student_habits_performance]" displayFolder="" count="2" memberValueDatatype="130" unbalanced="0">
      <fieldsUsage count="2">
        <fieldUsage x="-1"/>
        <fieldUsage x="4"/>
      </fieldsUsage>
    </cacheHierarchy>
    <cacheHierarchy uniqueName="[student_habits_performance].[Attendance]" caption="Attendance" attribute="1" defaultMemberUniqueName="[student_habits_performance].[Attendance].[All]" allUniqueName="[student_habits_performance].[Attendance].[All]" dimensionUniqueName="[student_habits_performance]" displayFolder="" count="2" memberValueDatatype="130" unbalanced="0">
      <fieldsUsage count="2">
        <fieldUsage x="-1"/>
        <fieldUsage x="1"/>
      </fieldsUsage>
    </cacheHierarchy>
    <cacheHierarchy uniqueName="[Measures].[Sum of exam_score]" caption="Sum of exam_score" measure="1" displayFolder="" measureGroup="student_habits_performance" count="0">
      <extLst>
        <ext xmlns:x15="http://schemas.microsoft.com/office/spreadsheetml/2010/11/main" uri="{B97F6D7D-B522-45F9-BDA1-12C45D357490}">
          <x15:cacheHierarchy aggregatedColumn="15"/>
        </ext>
      </extLst>
    </cacheHierarchy>
    <cacheHierarchy uniqueName="[Measures].[Average of exam_score]" caption="Average of exam_score" measure="1" displayFolder="" measureGroup="student_habits_performance" count="0" oneField="1">
      <fieldsUsage count="1">
        <fieldUsage x="0"/>
      </fieldsUsage>
      <extLst>
        <ext xmlns:x15="http://schemas.microsoft.com/office/spreadsheetml/2010/11/main" uri="{B97F6D7D-B522-45F9-BDA1-12C45D357490}">
          <x15:cacheHierarchy aggregatedColumn="15"/>
        </ext>
      </extLst>
    </cacheHierarchy>
    <cacheHierarchy uniqueName="[Measures].[Count of student_id]" caption="Count of student_id" measure="1" displayFolder="" measureGroup="student_habits_performance" count="0">
      <extLst>
        <ext xmlns:x15="http://schemas.microsoft.com/office/spreadsheetml/2010/11/main" uri="{B97F6D7D-B522-45F9-BDA1-12C45D357490}">
          <x15:cacheHierarchy aggregatedColumn="0"/>
        </ext>
      </extLst>
    </cacheHierarchy>
    <cacheHierarchy uniqueName="[Measures].[Total Students]" caption="Total Students" measure="1" displayFolder="" measureGroup="student_habits_performance" count="0"/>
    <cacheHierarchy uniqueName="[Measures].[Avg Exam Score]" caption="Avg Exam Score" measure="1" displayFolder="" measureGroup="student_habits_performance" count="0"/>
    <cacheHierarchy uniqueName="[Measures].[Avg Study Hrs/Day]" caption="Avg Study Hrs/Day" measure="1" displayFolder="" measureGroup="student_habits_performance" count="0"/>
    <cacheHierarchy uniqueName="[Measures].[Avg Attendance Rate]" caption="Avg Attendance Rate" measure="1" displayFolder="" measureGroup="student_habits_performance" count="0"/>
    <cacheHierarchy uniqueName="[Measures].[__XL_Count student_habits_performance]" caption="__XL_Count student_habits_performance" measure="1" displayFolder="" measureGroup="student_habits_performance" count="0" hidden="1"/>
    <cacheHierarchy uniqueName="[Measures].[__No measures defined]" caption="__No measures defined" measure="1" displayFolder="" count="0" hidden="1"/>
  </cacheHierarchies>
  <kpis count="0"/>
  <dimensions count="2">
    <dimension measure="1" name="Measures" uniqueName="[Measures]" caption="Measures"/>
    <dimension name="student_habits_performance" uniqueName="[student_habits_performance]" caption="student_habits_performance"/>
  </dimensions>
  <measureGroups count="1">
    <measureGroup name="student_habits_performance" caption="student_habits_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 daacad" refreshedDate="46166.726674074074" backgroundQuery="1" createdVersion="8" refreshedVersion="8" minRefreshableVersion="3" recordCount="0" supportSubquery="1" supportAdvancedDrill="1" xr:uid="{4FB88813-17C5-435C-B442-E47EAC63FDC6}">
  <cacheSource type="external" connectionId="2"/>
  <cacheFields count="5">
    <cacheField name="[Measures].[Average of exam_score]" caption="Average of exam_score" numFmtId="0" hierarchy="20" level="32767"/>
    <cacheField name="[student_habits_performance].[Study Hour].[Study Hour]" caption="Study Hour" numFmtId="0" hierarchy="16" level="1">
      <sharedItems count="4">
        <s v="0-2hrs"/>
        <s v="3-4hrs"/>
        <s v="5-6hrs"/>
        <s v="7-8hrs"/>
      </sharedItems>
    </cacheField>
    <cacheField name="[student_habits_performance].[gender].[gender]" caption="gender" numFmtId="0" hierarchy="2" level="1">
      <sharedItems containsSemiMixedTypes="0" containsNonDate="0" containsString="0"/>
    </cacheField>
    <cacheField name="[student_habits_performance].[Social Media].[Social Media]" caption="Social Media" numFmtId="0" hierarchy="17" level="1">
      <sharedItems containsSemiMixedTypes="0" containsNonDate="0" containsString="0"/>
    </cacheField>
    <cacheField name="[student_habits_performance].[Attendance].[Attendance]" caption="Attendance" numFmtId="0" hierarchy="18" level="1">
      <sharedItems containsSemiMixedTypes="0" containsNonDate="0" containsString="0"/>
    </cacheField>
  </cacheFields>
  <cacheHierarchies count="28">
    <cacheHierarchy uniqueName="[student_habits_performance].[student_id]" caption="student_id" attribute="1" defaultMemberUniqueName="[student_habits_performance].[student_id].[All]" allUniqueName="[student_habits_performance].[student_id].[All]" dimensionUniqueName="[student_habits_performance]" displayFolder="" count="0" memberValueDatatype="130" unbalanced="0"/>
    <cacheHierarchy uniqueName="[student_habits_performance].[age]" caption="age" attribute="1" defaultMemberUniqueName="[student_habits_performance].[age].[All]" allUniqueName="[student_habits_performance].[age].[All]" dimensionUniqueName="[student_habits_performance]" displayFolder="" count="0" memberValueDatatype="20" unbalanced="0"/>
    <cacheHierarchy uniqueName="[student_habits_performance].[gender]" caption="gender" attribute="1" defaultMemberUniqueName="[student_habits_performance].[gender].[All]" allUniqueName="[student_habits_performance].[gender].[All]" dimensionUniqueName="[student_habits_performance]" displayFolder="" count="2" memberValueDatatype="130" unbalanced="0">
      <fieldsUsage count="2">
        <fieldUsage x="-1"/>
        <fieldUsage x="2"/>
      </fieldsUsage>
    </cacheHierarchy>
    <cacheHierarchy uniqueName="[student_habits_performance].[study_hours_per_day]" caption="study_hours_per_day" attribute="1" defaultMemberUniqueName="[student_habits_performance].[study_hours_per_day].[All]" allUniqueName="[student_habits_performance].[study_hours_per_day].[All]" dimensionUniqueName="[student_habits_performance]" displayFolder="" count="0" memberValueDatatype="5" unbalanced="0"/>
    <cacheHierarchy uniqueName="[student_habits_performance].[social_media_hours]" caption="social_media_hours" attribute="1" defaultMemberUniqueName="[student_habits_performance].[social_media_hours].[All]" allUniqueName="[student_habits_performance].[social_media_hours].[All]" dimensionUniqueName="[student_habits_performance]" displayFolder="" count="0" memberValueDatatype="5" unbalanced="0"/>
    <cacheHierarchy uniqueName="[student_habits_performance].[netflix_hours]" caption="netflix_hours" attribute="1" defaultMemberUniqueName="[student_habits_performance].[netflix_hours].[All]" allUniqueName="[student_habits_performance].[netflix_hours].[All]" dimensionUniqueName="[student_habits_performance]" displayFolder="" count="0" memberValueDatatype="5" unbalanced="0"/>
    <cacheHierarchy uniqueName="[student_habits_performance].[part_time_job]" caption="part_time_job" attribute="1" defaultMemberUniqueName="[student_habits_performance].[part_time_job].[All]" allUniqueName="[student_habits_performance].[part_time_job].[All]" dimensionUniqueName="[student_habits_performance]" displayFolder="" count="0" memberValueDatatype="130" unbalanced="0"/>
    <cacheHierarchy uniqueName="[student_habits_performance].[attendance_percentage]" caption="attendance_percentage" attribute="1" defaultMemberUniqueName="[student_habits_performance].[attendance_percentage].[All]" allUniqueName="[student_habits_performance].[attendance_percentage].[All]" dimensionUniqueName="[student_habits_performance]" displayFolder="" count="0" memberValueDatatype="5" unbalanced="0"/>
    <cacheHierarchy uniqueName="[student_habits_performance].[sleep_hours]" caption="sleep_hours" attribute="1" defaultMemberUniqueName="[student_habits_performance].[sleep_hours].[All]" allUniqueName="[student_habits_performance].[sleep_hours].[All]" dimensionUniqueName="[student_habits_performance]" displayFolder="" count="0" memberValueDatatype="5" unbalanced="0"/>
    <cacheHierarchy uniqueName="[student_habits_performance].[diet_quality]" caption="diet_quality" attribute="1" defaultMemberUniqueName="[student_habits_performance].[diet_quality].[All]" allUniqueName="[student_habits_performance].[diet_quality].[All]" dimensionUniqueName="[student_habits_performance]" displayFolder="" count="0" memberValueDatatype="130" unbalanced="0"/>
    <cacheHierarchy uniqueName="[student_habits_performance].[exercise_frequency]" caption="exercise_frequency" attribute="1" defaultMemberUniqueName="[student_habits_performance].[exercise_frequency].[All]" allUniqueName="[student_habits_performance].[exercise_frequency].[All]" dimensionUniqueName="[student_habits_performance]" displayFolder="" count="0" memberValueDatatype="20" unbalanced="0"/>
    <cacheHierarchy uniqueName="[student_habits_performance].[parental_education_level]" caption="parental_education_level" attribute="1" defaultMemberUniqueName="[student_habits_performance].[parental_education_level].[All]" allUniqueName="[student_habits_performance].[parental_education_level].[All]" dimensionUniqueName="[student_habits_performance]" displayFolder="" count="0" memberValueDatatype="130" unbalanced="0"/>
    <cacheHierarchy uniqueName="[student_habits_performance].[internet_quality]" caption="internet_quality" attribute="1" defaultMemberUniqueName="[student_habits_performance].[internet_quality].[All]" allUniqueName="[student_habits_performance].[internet_quality].[All]" dimensionUniqueName="[student_habits_performance]" displayFolder="" count="0" memberValueDatatype="130" unbalanced="0"/>
    <cacheHierarchy uniqueName="[student_habits_performance].[mental_health_rating]" caption="mental_health_rating" attribute="1" defaultMemberUniqueName="[student_habits_performance].[mental_health_rating].[All]" allUniqueName="[student_habits_performance].[mental_health_rating].[All]" dimensionUniqueName="[student_habits_performance]" displayFolder="" count="0" memberValueDatatype="20" unbalanced="0"/>
    <cacheHierarchy uniqueName="[student_habits_performance].[extracurricular_participation]" caption="extracurricular_participation" attribute="1" defaultMemberUniqueName="[student_habits_performance].[extracurricular_participation].[All]" allUniqueName="[student_habits_performance].[extracurricular_participation].[All]" dimensionUniqueName="[student_habits_performance]" displayFolder="" count="0" memberValueDatatype="130" unbalanced="0"/>
    <cacheHierarchy uniqueName="[student_habits_performance].[exam_score]" caption="exam_score" attribute="1" defaultMemberUniqueName="[student_habits_performance].[exam_score].[All]" allUniqueName="[student_habits_performance].[exam_score].[All]" dimensionUniqueName="[student_habits_performance]" displayFolder="" count="0" memberValueDatatype="5" unbalanced="0"/>
    <cacheHierarchy uniqueName="[student_habits_performance].[Study Hour]" caption="Study Hour" attribute="1" defaultMemberUniqueName="[student_habits_performance].[Study Hour].[All]" allUniqueName="[student_habits_performance].[Study Hour].[All]" dimensionUniqueName="[student_habits_performance]" displayFolder="" count="2" memberValueDatatype="130" unbalanced="0">
      <fieldsUsage count="2">
        <fieldUsage x="-1"/>
        <fieldUsage x="1"/>
      </fieldsUsage>
    </cacheHierarchy>
    <cacheHierarchy uniqueName="[student_habits_performance].[Social Media]" caption="Social Media" attribute="1" defaultMemberUniqueName="[student_habits_performance].[Social Media].[All]" allUniqueName="[student_habits_performance].[Social Media].[All]" dimensionUniqueName="[student_habits_performance]" displayFolder="" count="2" memberValueDatatype="130" unbalanced="0">
      <fieldsUsage count="2">
        <fieldUsage x="-1"/>
        <fieldUsage x="3"/>
      </fieldsUsage>
    </cacheHierarchy>
    <cacheHierarchy uniqueName="[student_habits_performance].[Attendance]" caption="Attendance" attribute="1" defaultMemberUniqueName="[student_habits_performance].[Attendance].[All]" allUniqueName="[student_habits_performance].[Attendance].[All]" dimensionUniqueName="[student_habits_performance]" displayFolder="" count="2" memberValueDatatype="130" unbalanced="0">
      <fieldsUsage count="2">
        <fieldUsage x="-1"/>
        <fieldUsage x="4"/>
      </fieldsUsage>
    </cacheHierarchy>
    <cacheHierarchy uniqueName="[Measures].[Sum of exam_score]" caption="Sum of exam_score" measure="1" displayFolder="" measureGroup="student_habits_performance" count="0">
      <extLst>
        <ext xmlns:x15="http://schemas.microsoft.com/office/spreadsheetml/2010/11/main" uri="{B97F6D7D-B522-45F9-BDA1-12C45D357490}">
          <x15:cacheHierarchy aggregatedColumn="15"/>
        </ext>
      </extLst>
    </cacheHierarchy>
    <cacheHierarchy uniqueName="[Measures].[Average of exam_score]" caption="Average of exam_score" measure="1" displayFolder="" measureGroup="student_habits_performance" count="0" oneField="1">
      <fieldsUsage count="1">
        <fieldUsage x="0"/>
      </fieldsUsage>
      <extLst>
        <ext xmlns:x15="http://schemas.microsoft.com/office/spreadsheetml/2010/11/main" uri="{B97F6D7D-B522-45F9-BDA1-12C45D357490}">
          <x15:cacheHierarchy aggregatedColumn="15"/>
        </ext>
      </extLst>
    </cacheHierarchy>
    <cacheHierarchy uniqueName="[Measures].[Count of student_id]" caption="Count of student_id" measure="1" displayFolder="" measureGroup="student_habits_performance" count="0">
      <extLst>
        <ext xmlns:x15="http://schemas.microsoft.com/office/spreadsheetml/2010/11/main" uri="{B97F6D7D-B522-45F9-BDA1-12C45D357490}">
          <x15:cacheHierarchy aggregatedColumn="0"/>
        </ext>
      </extLst>
    </cacheHierarchy>
    <cacheHierarchy uniqueName="[Measures].[Total Students]" caption="Total Students" measure="1" displayFolder="" measureGroup="student_habits_performance" count="0"/>
    <cacheHierarchy uniqueName="[Measures].[Avg Exam Score]" caption="Avg Exam Score" measure="1" displayFolder="" measureGroup="student_habits_performance" count="0"/>
    <cacheHierarchy uniqueName="[Measures].[Avg Study Hrs/Day]" caption="Avg Study Hrs/Day" measure="1" displayFolder="" measureGroup="student_habits_performance" count="0"/>
    <cacheHierarchy uniqueName="[Measures].[Avg Attendance Rate]" caption="Avg Attendance Rate" measure="1" displayFolder="" measureGroup="student_habits_performance" count="0"/>
    <cacheHierarchy uniqueName="[Measures].[__XL_Count student_habits_performance]" caption="__XL_Count student_habits_performance" measure="1" displayFolder="" measureGroup="student_habits_performance" count="0" hidden="1"/>
    <cacheHierarchy uniqueName="[Measures].[__No measures defined]" caption="__No measures defined" measure="1" displayFolder="" count="0" hidden="1"/>
  </cacheHierarchies>
  <kpis count="0"/>
  <dimensions count="2">
    <dimension measure="1" name="Measures" uniqueName="[Measures]" caption="Measures"/>
    <dimension name="student_habits_performance" uniqueName="[student_habits_performance]" caption="student_habits_performance"/>
  </dimensions>
  <measureGroups count="1">
    <measureGroup name="student_habits_performance" caption="student_habits_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 daacad" refreshedDate="46166.726676736114" backgroundQuery="1" createdVersion="8" refreshedVersion="8" minRefreshableVersion="3" recordCount="0" supportSubquery="1" supportAdvancedDrill="1" xr:uid="{B58A8899-4162-4B78-AB78-7DE430E64B4A}">
  <cacheSource type="external" connectionId="2"/>
  <cacheFields count="5">
    <cacheField name="[student_habits_performance].[gender].[gender]" caption="gender" numFmtId="0" hierarchy="2" level="1">
      <sharedItems count="3">
        <s v="Female"/>
        <s v="Male"/>
        <s v="Other"/>
      </sharedItems>
    </cacheField>
    <cacheField name="[Measures].[Average of exam_score]" caption="Average of exam_score" numFmtId="0" hierarchy="20" level="32767"/>
    <cacheField name="[student_habits_performance].[Study Hour].[Study Hour]" caption="Study Hour" numFmtId="0" hierarchy="16" level="1">
      <sharedItems containsSemiMixedTypes="0" containsNonDate="0" containsString="0"/>
    </cacheField>
    <cacheField name="[student_habits_performance].[Social Media].[Social Media]" caption="Social Media" numFmtId="0" hierarchy="17" level="1">
      <sharedItems containsSemiMixedTypes="0" containsNonDate="0" containsString="0"/>
    </cacheField>
    <cacheField name="[student_habits_performance].[Attendance].[Attendance]" caption="Attendance" numFmtId="0" hierarchy="18" level="1">
      <sharedItems containsSemiMixedTypes="0" containsNonDate="0" containsString="0"/>
    </cacheField>
  </cacheFields>
  <cacheHierarchies count="28">
    <cacheHierarchy uniqueName="[student_habits_performance].[student_id]" caption="student_id" attribute="1" defaultMemberUniqueName="[student_habits_performance].[student_id].[All]" allUniqueName="[student_habits_performance].[student_id].[All]" dimensionUniqueName="[student_habits_performance]" displayFolder="" count="0" memberValueDatatype="130" unbalanced="0"/>
    <cacheHierarchy uniqueName="[student_habits_performance].[age]" caption="age" attribute="1" defaultMemberUniqueName="[student_habits_performance].[age].[All]" allUniqueName="[student_habits_performance].[age].[All]" dimensionUniqueName="[student_habits_performance]" displayFolder="" count="0" memberValueDatatype="20" unbalanced="0"/>
    <cacheHierarchy uniqueName="[student_habits_performance].[gender]" caption="gender" attribute="1" defaultMemberUniqueName="[student_habits_performance].[gender].[All]" allUniqueName="[student_habits_performance].[gender].[All]" dimensionUniqueName="[student_habits_performance]" displayFolder="" count="2" memberValueDatatype="130" unbalanced="0">
      <fieldsUsage count="2">
        <fieldUsage x="-1"/>
        <fieldUsage x="0"/>
      </fieldsUsage>
    </cacheHierarchy>
    <cacheHierarchy uniqueName="[student_habits_performance].[study_hours_per_day]" caption="study_hours_per_day" attribute="1" defaultMemberUniqueName="[student_habits_performance].[study_hours_per_day].[All]" allUniqueName="[student_habits_performance].[study_hours_per_day].[All]" dimensionUniqueName="[student_habits_performance]" displayFolder="" count="0" memberValueDatatype="5" unbalanced="0"/>
    <cacheHierarchy uniqueName="[student_habits_performance].[social_media_hours]" caption="social_media_hours" attribute="1" defaultMemberUniqueName="[student_habits_performance].[social_media_hours].[All]" allUniqueName="[student_habits_performance].[social_media_hours].[All]" dimensionUniqueName="[student_habits_performance]" displayFolder="" count="0" memberValueDatatype="5" unbalanced="0"/>
    <cacheHierarchy uniqueName="[student_habits_performance].[netflix_hours]" caption="netflix_hours" attribute="1" defaultMemberUniqueName="[student_habits_performance].[netflix_hours].[All]" allUniqueName="[student_habits_performance].[netflix_hours].[All]" dimensionUniqueName="[student_habits_performance]" displayFolder="" count="0" memberValueDatatype="5" unbalanced="0"/>
    <cacheHierarchy uniqueName="[student_habits_performance].[part_time_job]" caption="part_time_job" attribute="1" defaultMemberUniqueName="[student_habits_performance].[part_time_job].[All]" allUniqueName="[student_habits_performance].[part_time_job].[All]" dimensionUniqueName="[student_habits_performance]" displayFolder="" count="0" memberValueDatatype="130" unbalanced="0"/>
    <cacheHierarchy uniqueName="[student_habits_performance].[attendance_percentage]" caption="attendance_percentage" attribute="1" defaultMemberUniqueName="[student_habits_performance].[attendance_percentage].[All]" allUniqueName="[student_habits_performance].[attendance_percentage].[All]" dimensionUniqueName="[student_habits_performance]" displayFolder="" count="0" memberValueDatatype="5" unbalanced="0"/>
    <cacheHierarchy uniqueName="[student_habits_performance].[sleep_hours]" caption="sleep_hours" attribute="1" defaultMemberUniqueName="[student_habits_performance].[sleep_hours].[All]" allUniqueName="[student_habits_performance].[sleep_hours].[All]" dimensionUniqueName="[student_habits_performance]" displayFolder="" count="0" memberValueDatatype="5" unbalanced="0"/>
    <cacheHierarchy uniqueName="[student_habits_performance].[diet_quality]" caption="diet_quality" attribute="1" defaultMemberUniqueName="[student_habits_performance].[diet_quality].[All]" allUniqueName="[student_habits_performance].[diet_quality].[All]" dimensionUniqueName="[student_habits_performance]" displayFolder="" count="0" memberValueDatatype="130" unbalanced="0"/>
    <cacheHierarchy uniqueName="[student_habits_performance].[exercise_frequency]" caption="exercise_frequency" attribute="1" defaultMemberUniqueName="[student_habits_performance].[exercise_frequency].[All]" allUniqueName="[student_habits_performance].[exercise_frequency].[All]" dimensionUniqueName="[student_habits_performance]" displayFolder="" count="0" memberValueDatatype="20" unbalanced="0"/>
    <cacheHierarchy uniqueName="[student_habits_performance].[parental_education_level]" caption="parental_education_level" attribute="1" defaultMemberUniqueName="[student_habits_performance].[parental_education_level].[All]" allUniqueName="[student_habits_performance].[parental_education_level].[All]" dimensionUniqueName="[student_habits_performance]" displayFolder="" count="0" memberValueDatatype="130" unbalanced="0"/>
    <cacheHierarchy uniqueName="[student_habits_performance].[internet_quality]" caption="internet_quality" attribute="1" defaultMemberUniqueName="[student_habits_performance].[internet_quality].[All]" allUniqueName="[student_habits_performance].[internet_quality].[All]" dimensionUniqueName="[student_habits_performance]" displayFolder="" count="0" memberValueDatatype="130" unbalanced="0"/>
    <cacheHierarchy uniqueName="[student_habits_performance].[mental_health_rating]" caption="mental_health_rating" attribute="1" defaultMemberUniqueName="[student_habits_performance].[mental_health_rating].[All]" allUniqueName="[student_habits_performance].[mental_health_rating].[All]" dimensionUniqueName="[student_habits_performance]" displayFolder="" count="0" memberValueDatatype="20" unbalanced="0"/>
    <cacheHierarchy uniqueName="[student_habits_performance].[extracurricular_participation]" caption="extracurricular_participation" attribute="1" defaultMemberUniqueName="[student_habits_performance].[extracurricular_participation].[All]" allUniqueName="[student_habits_performance].[extracurricular_participation].[All]" dimensionUniqueName="[student_habits_performance]" displayFolder="" count="0" memberValueDatatype="130" unbalanced="0"/>
    <cacheHierarchy uniqueName="[student_habits_performance].[exam_score]" caption="exam_score" attribute="1" defaultMemberUniqueName="[student_habits_performance].[exam_score].[All]" allUniqueName="[student_habits_performance].[exam_score].[All]" dimensionUniqueName="[student_habits_performance]" displayFolder="" count="0" memberValueDatatype="5" unbalanced="0"/>
    <cacheHierarchy uniqueName="[student_habits_performance].[Study Hour]" caption="Study Hour" attribute="1" defaultMemberUniqueName="[student_habits_performance].[Study Hour].[All]" allUniqueName="[student_habits_performance].[Study Hour].[All]" dimensionUniqueName="[student_habits_performance]" displayFolder="" count="2" memberValueDatatype="130" unbalanced="0">
      <fieldsUsage count="2">
        <fieldUsage x="-1"/>
        <fieldUsage x="2"/>
      </fieldsUsage>
    </cacheHierarchy>
    <cacheHierarchy uniqueName="[student_habits_performance].[Social Media]" caption="Social Media" attribute="1" defaultMemberUniqueName="[student_habits_performance].[Social Media].[All]" allUniqueName="[student_habits_performance].[Social Media].[All]" dimensionUniqueName="[student_habits_performance]" displayFolder="" count="2" memberValueDatatype="130" unbalanced="0">
      <fieldsUsage count="2">
        <fieldUsage x="-1"/>
        <fieldUsage x="3"/>
      </fieldsUsage>
    </cacheHierarchy>
    <cacheHierarchy uniqueName="[student_habits_performance].[Attendance]" caption="Attendance" attribute="1" defaultMemberUniqueName="[student_habits_performance].[Attendance].[All]" allUniqueName="[student_habits_performance].[Attendance].[All]" dimensionUniqueName="[student_habits_performance]" displayFolder="" count="2" memberValueDatatype="130" unbalanced="0">
      <fieldsUsage count="2">
        <fieldUsage x="-1"/>
        <fieldUsage x="4"/>
      </fieldsUsage>
    </cacheHierarchy>
    <cacheHierarchy uniqueName="[Measures].[Sum of exam_score]" caption="Sum of exam_score" measure="1" displayFolder="" measureGroup="student_habits_performance" count="0">
      <extLst>
        <ext xmlns:x15="http://schemas.microsoft.com/office/spreadsheetml/2010/11/main" uri="{B97F6D7D-B522-45F9-BDA1-12C45D357490}">
          <x15:cacheHierarchy aggregatedColumn="15"/>
        </ext>
      </extLst>
    </cacheHierarchy>
    <cacheHierarchy uniqueName="[Measures].[Average of exam_score]" caption="Average of exam_score" measure="1" displayFolder="" measureGroup="student_habits_performance" count="0" oneField="1">
      <fieldsUsage count="1">
        <fieldUsage x="1"/>
      </fieldsUsage>
      <extLst>
        <ext xmlns:x15="http://schemas.microsoft.com/office/spreadsheetml/2010/11/main" uri="{B97F6D7D-B522-45F9-BDA1-12C45D357490}">
          <x15:cacheHierarchy aggregatedColumn="15"/>
        </ext>
      </extLst>
    </cacheHierarchy>
    <cacheHierarchy uniqueName="[Measures].[Count of student_id]" caption="Count of student_id" measure="1" displayFolder="" measureGroup="student_habits_performance" count="0">
      <extLst>
        <ext xmlns:x15="http://schemas.microsoft.com/office/spreadsheetml/2010/11/main" uri="{B97F6D7D-B522-45F9-BDA1-12C45D357490}">
          <x15:cacheHierarchy aggregatedColumn="0"/>
        </ext>
      </extLst>
    </cacheHierarchy>
    <cacheHierarchy uniqueName="[Measures].[Total Students]" caption="Total Students" measure="1" displayFolder="" measureGroup="student_habits_performance" count="0"/>
    <cacheHierarchy uniqueName="[Measures].[Avg Exam Score]" caption="Avg Exam Score" measure="1" displayFolder="" measureGroup="student_habits_performance" count="0"/>
    <cacheHierarchy uniqueName="[Measures].[Avg Study Hrs/Day]" caption="Avg Study Hrs/Day" measure="1" displayFolder="" measureGroup="student_habits_performance" count="0"/>
    <cacheHierarchy uniqueName="[Measures].[Avg Attendance Rate]" caption="Avg Attendance Rate" measure="1" displayFolder="" measureGroup="student_habits_performance" count="0"/>
    <cacheHierarchy uniqueName="[Measures].[__XL_Count student_habits_performance]" caption="__XL_Count student_habits_performance" measure="1" displayFolder="" measureGroup="student_habits_performance" count="0" hidden="1"/>
    <cacheHierarchy uniqueName="[Measures].[__No measures defined]" caption="__No measures defined" measure="1" displayFolder="" count="0" hidden="1"/>
  </cacheHierarchies>
  <kpis count="0"/>
  <dimensions count="2">
    <dimension measure="1" name="Measures" uniqueName="[Measures]" caption="Measures"/>
    <dimension name="student_habits_performance" uniqueName="[student_habits_performance]" caption="student_habits_performance"/>
  </dimensions>
  <measureGroups count="1">
    <measureGroup name="student_habits_performance" caption="student_habits_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 daacad" refreshedDate="46166.726679976855" backgroundQuery="1" createdVersion="8" refreshedVersion="8" minRefreshableVersion="3" recordCount="0" supportSubquery="1" supportAdvancedDrill="1" xr:uid="{A0C7724E-F722-4C3E-B5FC-8F9A3EE4AFD8}">
  <cacheSource type="external" connectionId="2"/>
  <cacheFields count="5">
    <cacheField name="[Measures].[Total Students]" caption="Total Students" numFmtId="0" hierarchy="22" level="32767"/>
    <cacheField name="[student_habits_performance].[Study Hour].[Study Hour]" caption="Study Hour" numFmtId="0" hierarchy="16" level="1">
      <sharedItems containsSemiMixedTypes="0" containsNonDate="0" containsString="0"/>
    </cacheField>
    <cacheField name="[student_habits_performance].[gender].[gender]" caption="gender" numFmtId="0" hierarchy="2" level="1">
      <sharedItems containsSemiMixedTypes="0" containsNonDate="0" containsString="0"/>
    </cacheField>
    <cacheField name="[student_habits_performance].[Social Media].[Social Media]" caption="Social Media" numFmtId="0" hierarchy="17" level="1">
      <sharedItems containsSemiMixedTypes="0" containsNonDate="0" containsString="0"/>
    </cacheField>
    <cacheField name="[student_habits_performance].[Attendance].[Attendance]" caption="Attendance" numFmtId="0" hierarchy="18" level="1">
      <sharedItems containsSemiMixedTypes="0" containsNonDate="0" containsString="0"/>
    </cacheField>
  </cacheFields>
  <cacheHierarchies count="28">
    <cacheHierarchy uniqueName="[student_habits_performance].[student_id]" caption="student_id" attribute="1" defaultMemberUniqueName="[student_habits_performance].[student_id].[All]" allUniqueName="[student_habits_performance].[student_id].[All]" dimensionUniqueName="[student_habits_performance]" displayFolder="" count="0" memberValueDatatype="130" unbalanced="0"/>
    <cacheHierarchy uniqueName="[student_habits_performance].[age]" caption="age" attribute="1" defaultMemberUniqueName="[student_habits_performance].[age].[All]" allUniqueName="[student_habits_performance].[age].[All]" dimensionUniqueName="[student_habits_performance]" displayFolder="" count="0" memberValueDatatype="20" unbalanced="0"/>
    <cacheHierarchy uniqueName="[student_habits_performance].[gender]" caption="gender" attribute="1" defaultMemberUniqueName="[student_habits_performance].[gender].[All]" allUniqueName="[student_habits_performance].[gender].[All]" dimensionUniqueName="[student_habits_performance]" displayFolder="" count="2" memberValueDatatype="130" unbalanced="0">
      <fieldsUsage count="2">
        <fieldUsage x="-1"/>
        <fieldUsage x="2"/>
      </fieldsUsage>
    </cacheHierarchy>
    <cacheHierarchy uniqueName="[student_habits_performance].[study_hours_per_day]" caption="study_hours_per_day" attribute="1" defaultMemberUniqueName="[student_habits_performance].[study_hours_per_day].[All]" allUniqueName="[student_habits_performance].[study_hours_per_day].[All]" dimensionUniqueName="[student_habits_performance]" displayFolder="" count="0" memberValueDatatype="5" unbalanced="0"/>
    <cacheHierarchy uniqueName="[student_habits_performance].[social_media_hours]" caption="social_media_hours" attribute="1" defaultMemberUniqueName="[student_habits_performance].[social_media_hours].[All]" allUniqueName="[student_habits_performance].[social_media_hours].[All]" dimensionUniqueName="[student_habits_performance]" displayFolder="" count="0" memberValueDatatype="5" unbalanced="0"/>
    <cacheHierarchy uniqueName="[student_habits_performance].[netflix_hours]" caption="netflix_hours" attribute="1" defaultMemberUniqueName="[student_habits_performance].[netflix_hours].[All]" allUniqueName="[student_habits_performance].[netflix_hours].[All]" dimensionUniqueName="[student_habits_performance]" displayFolder="" count="0" memberValueDatatype="5" unbalanced="0"/>
    <cacheHierarchy uniqueName="[student_habits_performance].[part_time_job]" caption="part_time_job" attribute="1" defaultMemberUniqueName="[student_habits_performance].[part_time_job].[All]" allUniqueName="[student_habits_performance].[part_time_job].[All]" dimensionUniqueName="[student_habits_performance]" displayFolder="" count="0" memberValueDatatype="130" unbalanced="0"/>
    <cacheHierarchy uniqueName="[student_habits_performance].[attendance_percentage]" caption="attendance_percentage" attribute="1" defaultMemberUniqueName="[student_habits_performance].[attendance_percentage].[All]" allUniqueName="[student_habits_performance].[attendance_percentage].[All]" dimensionUniqueName="[student_habits_performance]" displayFolder="" count="0" memberValueDatatype="5" unbalanced="0"/>
    <cacheHierarchy uniqueName="[student_habits_performance].[sleep_hours]" caption="sleep_hours" attribute="1" defaultMemberUniqueName="[student_habits_performance].[sleep_hours].[All]" allUniqueName="[student_habits_performance].[sleep_hours].[All]" dimensionUniqueName="[student_habits_performance]" displayFolder="" count="0" memberValueDatatype="5" unbalanced="0"/>
    <cacheHierarchy uniqueName="[student_habits_performance].[diet_quality]" caption="diet_quality" attribute="1" defaultMemberUniqueName="[student_habits_performance].[diet_quality].[All]" allUniqueName="[student_habits_performance].[diet_quality].[All]" dimensionUniqueName="[student_habits_performance]" displayFolder="" count="0" memberValueDatatype="130" unbalanced="0"/>
    <cacheHierarchy uniqueName="[student_habits_performance].[exercise_frequency]" caption="exercise_frequency" attribute="1" defaultMemberUniqueName="[student_habits_performance].[exercise_frequency].[All]" allUniqueName="[student_habits_performance].[exercise_frequency].[All]" dimensionUniqueName="[student_habits_performance]" displayFolder="" count="0" memberValueDatatype="20" unbalanced="0"/>
    <cacheHierarchy uniqueName="[student_habits_performance].[parental_education_level]" caption="parental_education_level" attribute="1" defaultMemberUniqueName="[student_habits_performance].[parental_education_level].[All]" allUniqueName="[student_habits_performance].[parental_education_level].[All]" dimensionUniqueName="[student_habits_performance]" displayFolder="" count="0" memberValueDatatype="130" unbalanced="0"/>
    <cacheHierarchy uniqueName="[student_habits_performance].[internet_quality]" caption="internet_quality" attribute="1" defaultMemberUniqueName="[student_habits_performance].[internet_quality].[All]" allUniqueName="[student_habits_performance].[internet_quality].[All]" dimensionUniqueName="[student_habits_performance]" displayFolder="" count="0" memberValueDatatype="130" unbalanced="0"/>
    <cacheHierarchy uniqueName="[student_habits_performance].[mental_health_rating]" caption="mental_health_rating" attribute="1" defaultMemberUniqueName="[student_habits_performance].[mental_health_rating].[All]" allUniqueName="[student_habits_performance].[mental_health_rating].[All]" dimensionUniqueName="[student_habits_performance]" displayFolder="" count="0" memberValueDatatype="20" unbalanced="0"/>
    <cacheHierarchy uniqueName="[student_habits_performance].[extracurricular_participation]" caption="extracurricular_participation" attribute="1" defaultMemberUniqueName="[student_habits_performance].[extracurricular_participation].[All]" allUniqueName="[student_habits_performance].[extracurricular_participation].[All]" dimensionUniqueName="[student_habits_performance]" displayFolder="" count="0" memberValueDatatype="130" unbalanced="0"/>
    <cacheHierarchy uniqueName="[student_habits_performance].[exam_score]" caption="exam_score" attribute="1" defaultMemberUniqueName="[student_habits_performance].[exam_score].[All]" allUniqueName="[student_habits_performance].[exam_score].[All]" dimensionUniqueName="[student_habits_performance]" displayFolder="" count="0" memberValueDatatype="5" unbalanced="0"/>
    <cacheHierarchy uniqueName="[student_habits_performance].[Study Hour]" caption="Study Hour" attribute="1" defaultMemberUniqueName="[student_habits_performance].[Study Hour].[All]" allUniqueName="[student_habits_performance].[Study Hour].[All]" dimensionUniqueName="[student_habits_performance]" displayFolder="" count="2" memberValueDatatype="130" unbalanced="0">
      <fieldsUsage count="2">
        <fieldUsage x="-1"/>
        <fieldUsage x="1"/>
      </fieldsUsage>
    </cacheHierarchy>
    <cacheHierarchy uniqueName="[student_habits_performance].[Social Media]" caption="Social Media" attribute="1" defaultMemberUniqueName="[student_habits_performance].[Social Media].[All]" allUniqueName="[student_habits_performance].[Social Media].[All]" dimensionUniqueName="[student_habits_performance]" displayFolder="" count="2" memberValueDatatype="130" unbalanced="0">
      <fieldsUsage count="2">
        <fieldUsage x="-1"/>
        <fieldUsage x="3"/>
      </fieldsUsage>
    </cacheHierarchy>
    <cacheHierarchy uniqueName="[student_habits_performance].[Attendance]" caption="Attendance" attribute="1" defaultMemberUniqueName="[student_habits_performance].[Attendance].[All]" allUniqueName="[student_habits_performance].[Attendance].[All]" dimensionUniqueName="[student_habits_performance]" displayFolder="" count="2" memberValueDatatype="130" unbalanced="0">
      <fieldsUsage count="2">
        <fieldUsage x="-1"/>
        <fieldUsage x="4"/>
      </fieldsUsage>
    </cacheHierarchy>
    <cacheHierarchy uniqueName="[Measures].[Sum of exam_score]" caption="Sum of exam_score" measure="1" displayFolder="" measureGroup="student_habits_performance" count="0">
      <extLst>
        <ext xmlns:x15="http://schemas.microsoft.com/office/spreadsheetml/2010/11/main" uri="{B97F6D7D-B522-45F9-BDA1-12C45D357490}">
          <x15:cacheHierarchy aggregatedColumn="15"/>
        </ext>
      </extLst>
    </cacheHierarchy>
    <cacheHierarchy uniqueName="[Measures].[Average of exam_score]" caption="Average of exam_score" measure="1" displayFolder="" measureGroup="student_habits_performance" count="0">
      <extLst>
        <ext xmlns:x15="http://schemas.microsoft.com/office/spreadsheetml/2010/11/main" uri="{B97F6D7D-B522-45F9-BDA1-12C45D357490}">
          <x15:cacheHierarchy aggregatedColumn="15"/>
        </ext>
      </extLst>
    </cacheHierarchy>
    <cacheHierarchy uniqueName="[Measures].[Count of student_id]" caption="Count of student_id" measure="1" displayFolder="" measureGroup="student_habits_performance" count="0">
      <extLst>
        <ext xmlns:x15="http://schemas.microsoft.com/office/spreadsheetml/2010/11/main" uri="{B97F6D7D-B522-45F9-BDA1-12C45D357490}">
          <x15:cacheHierarchy aggregatedColumn="0"/>
        </ext>
      </extLst>
    </cacheHierarchy>
    <cacheHierarchy uniqueName="[Measures].[Total Students]" caption="Total Students" measure="1" displayFolder="" measureGroup="student_habits_performance" count="0" oneField="1">
      <fieldsUsage count="1">
        <fieldUsage x="0"/>
      </fieldsUsage>
    </cacheHierarchy>
    <cacheHierarchy uniqueName="[Measures].[Avg Exam Score]" caption="Avg Exam Score" measure="1" displayFolder="" measureGroup="student_habits_performance" count="0"/>
    <cacheHierarchy uniqueName="[Measures].[Avg Study Hrs/Day]" caption="Avg Study Hrs/Day" measure="1" displayFolder="" measureGroup="student_habits_performance" count="0"/>
    <cacheHierarchy uniqueName="[Measures].[Avg Attendance Rate]" caption="Avg Attendance Rate" measure="1" displayFolder="" measureGroup="student_habits_performance" count="0"/>
    <cacheHierarchy uniqueName="[Measures].[__XL_Count student_habits_performance]" caption="__XL_Count student_habits_performance" measure="1" displayFolder="" measureGroup="student_habits_performance" count="0" hidden="1"/>
    <cacheHierarchy uniqueName="[Measures].[__No measures defined]" caption="__No measures defined" measure="1" displayFolder="" count="0" hidden="1"/>
  </cacheHierarchies>
  <kpis count="0"/>
  <dimensions count="2">
    <dimension measure="1" name="Measures" uniqueName="[Measures]" caption="Measures"/>
    <dimension name="student_habits_performance" uniqueName="[student_habits_performance]" caption="student_habits_performance"/>
  </dimensions>
  <measureGroups count="1">
    <measureGroup name="student_habits_performance" caption="student_habits_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 daacad" refreshedDate="46166.726641435183" backgroundQuery="1" createdVersion="3" refreshedVersion="8" minRefreshableVersion="3" recordCount="0" supportSubquery="1" supportAdvancedDrill="1" xr:uid="{5C2FA937-9969-47F7-81DB-0A3D1A0BF673}">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student_habits_performance].[student_id]" caption="student_id" attribute="1" defaultMemberUniqueName="[student_habits_performance].[student_id].[All]" allUniqueName="[student_habits_performance].[student_id].[All]" dimensionUniqueName="[student_habits_performance]" displayFolder="" count="0" memberValueDatatype="130" unbalanced="0"/>
    <cacheHierarchy uniqueName="[student_habits_performance].[age]" caption="age" attribute="1" defaultMemberUniqueName="[student_habits_performance].[age].[All]" allUniqueName="[student_habits_performance].[age].[All]" dimensionUniqueName="[student_habits_performance]" displayFolder="" count="0" memberValueDatatype="20" unbalanced="0"/>
    <cacheHierarchy uniqueName="[student_habits_performance].[gender]" caption="gender" attribute="1" defaultMemberUniqueName="[student_habits_performance].[gender].[All]" allUniqueName="[student_habits_performance].[gender].[All]" dimensionUniqueName="[student_habits_performance]" displayFolder="" count="2" memberValueDatatype="130" unbalanced="0"/>
    <cacheHierarchy uniqueName="[student_habits_performance].[study_hours_per_day]" caption="study_hours_per_day" attribute="1" defaultMemberUniqueName="[student_habits_performance].[study_hours_per_day].[All]" allUniqueName="[student_habits_performance].[study_hours_per_day].[All]" dimensionUniqueName="[student_habits_performance]" displayFolder="" count="0" memberValueDatatype="5" unbalanced="0"/>
    <cacheHierarchy uniqueName="[student_habits_performance].[social_media_hours]" caption="social_media_hours" attribute="1" defaultMemberUniqueName="[student_habits_performance].[social_media_hours].[All]" allUniqueName="[student_habits_performance].[social_media_hours].[All]" dimensionUniqueName="[student_habits_performance]" displayFolder="" count="0" memberValueDatatype="5" unbalanced="0"/>
    <cacheHierarchy uniqueName="[student_habits_performance].[netflix_hours]" caption="netflix_hours" attribute="1" defaultMemberUniqueName="[student_habits_performance].[netflix_hours].[All]" allUniqueName="[student_habits_performance].[netflix_hours].[All]" dimensionUniqueName="[student_habits_performance]" displayFolder="" count="0" memberValueDatatype="5" unbalanced="0"/>
    <cacheHierarchy uniqueName="[student_habits_performance].[part_time_job]" caption="part_time_job" attribute="1" defaultMemberUniqueName="[student_habits_performance].[part_time_job].[All]" allUniqueName="[student_habits_performance].[part_time_job].[All]" dimensionUniqueName="[student_habits_performance]" displayFolder="" count="0" memberValueDatatype="130" unbalanced="0"/>
    <cacheHierarchy uniqueName="[student_habits_performance].[attendance_percentage]" caption="attendance_percentage" attribute="1" defaultMemberUniqueName="[student_habits_performance].[attendance_percentage].[All]" allUniqueName="[student_habits_performance].[attendance_percentage].[All]" dimensionUniqueName="[student_habits_performance]" displayFolder="" count="0" memberValueDatatype="5" unbalanced="0"/>
    <cacheHierarchy uniqueName="[student_habits_performance].[sleep_hours]" caption="sleep_hours" attribute="1" defaultMemberUniqueName="[student_habits_performance].[sleep_hours].[All]" allUniqueName="[student_habits_performance].[sleep_hours].[All]" dimensionUniqueName="[student_habits_performance]" displayFolder="" count="0" memberValueDatatype="5" unbalanced="0"/>
    <cacheHierarchy uniqueName="[student_habits_performance].[diet_quality]" caption="diet_quality" attribute="1" defaultMemberUniqueName="[student_habits_performance].[diet_quality].[All]" allUniqueName="[student_habits_performance].[diet_quality].[All]" dimensionUniqueName="[student_habits_performance]" displayFolder="" count="0" memberValueDatatype="130" unbalanced="0"/>
    <cacheHierarchy uniqueName="[student_habits_performance].[exercise_frequency]" caption="exercise_frequency" attribute="1" defaultMemberUniqueName="[student_habits_performance].[exercise_frequency].[All]" allUniqueName="[student_habits_performance].[exercise_frequency].[All]" dimensionUniqueName="[student_habits_performance]" displayFolder="" count="0" memberValueDatatype="20" unbalanced="0"/>
    <cacheHierarchy uniqueName="[student_habits_performance].[parental_education_level]" caption="parental_education_level" attribute="1" defaultMemberUniqueName="[student_habits_performance].[parental_education_level].[All]" allUniqueName="[student_habits_performance].[parental_education_level].[All]" dimensionUniqueName="[student_habits_performance]" displayFolder="" count="0" memberValueDatatype="130" unbalanced="0"/>
    <cacheHierarchy uniqueName="[student_habits_performance].[internet_quality]" caption="internet_quality" attribute="1" defaultMemberUniqueName="[student_habits_performance].[internet_quality].[All]" allUniqueName="[student_habits_performance].[internet_quality].[All]" dimensionUniqueName="[student_habits_performance]" displayFolder="" count="0" memberValueDatatype="130" unbalanced="0"/>
    <cacheHierarchy uniqueName="[student_habits_performance].[mental_health_rating]" caption="mental_health_rating" attribute="1" defaultMemberUniqueName="[student_habits_performance].[mental_health_rating].[All]" allUniqueName="[student_habits_performance].[mental_health_rating].[All]" dimensionUniqueName="[student_habits_performance]" displayFolder="" count="0" memberValueDatatype="20" unbalanced="0"/>
    <cacheHierarchy uniqueName="[student_habits_performance].[extracurricular_participation]" caption="extracurricular_participation" attribute="1" defaultMemberUniqueName="[student_habits_performance].[extracurricular_participation].[All]" allUniqueName="[student_habits_performance].[extracurricular_participation].[All]" dimensionUniqueName="[student_habits_performance]" displayFolder="" count="0" memberValueDatatype="130" unbalanced="0"/>
    <cacheHierarchy uniqueName="[student_habits_performance].[exam_score]" caption="exam_score" attribute="1" defaultMemberUniqueName="[student_habits_performance].[exam_score].[All]" allUniqueName="[student_habits_performance].[exam_score].[All]" dimensionUniqueName="[student_habits_performance]" displayFolder="" count="0" memberValueDatatype="5" unbalanced="0"/>
    <cacheHierarchy uniqueName="[student_habits_performance].[Study Hour]" caption="Study Hour" attribute="1" defaultMemberUniqueName="[student_habits_performance].[Study Hour].[All]" allUniqueName="[student_habits_performance].[Study Hour].[All]" dimensionUniqueName="[student_habits_performance]" displayFolder="" count="2" memberValueDatatype="130" unbalanced="0"/>
    <cacheHierarchy uniqueName="[student_habits_performance].[Social Media]" caption="Social Media" attribute="1" defaultMemberUniqueName="[student_habits_performance].[Social Media].[All]" allUniqueName="[student_habits_performance].[Social Media].[All]" dimensionUniqueName="[student_habits_performance]" displayFolder="" count="2" memberValueDatatype="130" unbalanced="0"/>
    <cacheHierarchy uniqueName="[student_habits_performance].[Attendance]" caption="Attendance" attribute="1" defaultMemberUniqueName="[student_habits_performance].[Attendance].[All]" allUniqueName="[student_habits_performance].[Attendance].[All]" dimensionUniqueName="[student_habits_performance]" displayFolder="" count="2" memberValueDatatype="130" unbalanced="0"/>
    <cacheHierarchy uniqueName="[Measures].[Sum of exam_score]" caption="Sum of exam_score" measure="1" displayFolder="" measureGroup="student_habits_performance" count="0">
      <extLst>
        <ext xmlns:x15="http://schemas.microsoft.com/office/spreadsheetml/2010/11/main" uri="{B97F6D7D-B522-45F9-BDA1-12C45D357490}">
          <x15:cacheHierarchy aggregatedColumn="15"/>
        </ext>
      </extLst>
    </cacheHierarchy>
    <cacheHierarchy uniqueName="[Measures].[Average of exam_score]" caption="Average of exam_score" measure="1" displayFolder="" measureGroup="student_habits_performance" count="0">
      <extLst>
        <ext xmlns:x15="http://schemas.microsoft.com/office/spreadsheetml/2010/11/main" uri="{B97F6D7D-B522-45F9-BDA1-12C45D357490}">
          <x15:cacheHierarchy aggregatedColumn="15"/>
        </ext>
      </extLst>
    </cacheHierarchy>
    <cacheHierarchy uniqueName="[Measures].[Count of student_id]" caption="Count of student_id" measure="1" displayFolder="" measureGroup="student_habits_performance" count="0">
      <extLst>
        <ext xmlns:x15="http://schemas.microsoft.com/office/spreadsheetml/2010/11/main" uri="{B97F6D7D-B522-45F9-BDA1-12C45D357490}">
          <x15:cacheHierarchy aggregatedColumn="0"/>
        </ext>
      </extLst>
    </cacheHierarchy>
    <cacheHierarchy uniqueName="[Measures].[Total Students]" caption="Total Students" measure="1" displayFolder="" measureGroup="student_habits_performance" count="0"/>
    <cacheHierarchy uniqueName="[Measures].[Avg Exam Score]" caption="Avg Exam Score" measure="1" displayFolder="" measureGroup="student_habits_performance" count="0"/>
    <cacheHierarchy uniqueName="[Measures].[Avg Study Hrs/Day]" caption="Avg Study Hrs/Day" measure="1" displayFolder="" measureGroup="student_habits_performance" count="0"/>
    <cacheHierarchy uniqueName="[Measures].[Avg Attendance Rate]" caption="Avg Attendance Rate" measure="1" displayFolder="" measureGroup="student_habits_performance" count="0"/>
    <cacheHierarchy uniqueName="[Measures].[__XL_Count student_habits_performance]" caption="__XL_Count student_habits_performance" measure="1" displayFolder="" measureGroup="student_habits_performanc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547312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E43F1C-E792-4572-8469-EFF2D64B9487}" name="PivotTable13" cacheId="10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6" rowHeaderCaption="Gender">
  <location ref="J15:J16"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47">
      <pivotArea grandRow="1" outline="0" collapsedLevelsAreSubtotals="1" fieldPosition="0"/>
    </format>
  </formats>
  <pivotHierarchies count="2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caption="Avg Exam Score"/>
    <pivotHierarchy dragToData="1" caption="Stude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habits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924805-99B5-4928-BFE2-5E6E90A3742A}" name="PivotTable12" cacheId="106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6" rowHeaderCaption="Gender">
  <location ref="J12:J13"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48">
      <pivotArea grandRow="1" outline="0" collapsedLevelsAreSubtotals="1" fieldPosition="0"/>
    </format>
  </formats>
  <pivotHierarchies count="2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caption="Avg Exam Score"/>
    <pivotHierarchy dragToData="1" caption="Stude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habits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20628E-D950-471B-AD9D-2284603713E2}" name="PivotTable11" cacheId="10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6" rowHeaderCaption="Gender">
  <location ref="J9:J10"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49">
      <pivotArea grandRow="1" outline="0" collapsedLevelsAreSubtotals="1" fieldPosition="0"/>
    </format>
  </formats>
  <pivotHierarchies count="2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caption="Avg Exam Score"/>
    <pivotHierarchy dragToData="1" caption="Stude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habits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7F0AFB-E331-4B18-8FBF-72D1A6E7687C}" name="PivotTable10" cacheId="108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6" rowHeaderCaption="Gender">
  <location ref="J6:J7"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
  </dataFields>
  <formats count="2">
    <format dxfId="145">
      <pivotArea grandRow="1" outline="0" collapsedLevelsAreSubtotals="1" fieldPosition="0"/>
    </format>
    <format dxfId="146">
      <pivotArea outline="0" collapsedLevelsAreSubtotals="1" fieldPosition="0"/>
    </format>
  </formats>
  <pivotHierarchies count="2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caption="Avg Exam Score"/>
    <pivotHierarchy dragToData="1" caption="Stude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habits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625086-5A54-42C0-949A-935D1C2E6731}" name="PivotTable5" cacheId="10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ocial Hour">
  <location ref="A13:C19" firstHeaderRow="0" firstDataRow="1" firstDataCol="1"/>
  <pivotFields count="6">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Fields count="1">
    <field x="-2"/>
  </colFields>
  <colItems count="2">
    <i>
      <x/>
    </i>
    <i i="1">
      <x v="1"/>
    </i>
  </colItems>
  <dataFields count="2">
    <dataField name="Avg Exam Score" fld="0" subtotal="average" baseField="0" baseItem="0"/>
    <dataField name="Student" fld="1" subtotal="count" baseField="0" baseItem="0"/>
  </dataFields>
  <formats count="18">
    <format dxfId="269">
      <pivotArea grandRow="1" outline="0" collapsedLevelsAreSubtotals="1" fieldPosition="0"/>
    </format>
    <format dxfId="270">
      <pivotArea collapsedLevelsAreSubtotals="1" fieldPosition="0">
        <references count="2">
          <reference field="4294967294" count="1" selected="0">
            <x v="0"/>
          </reference>
          <reference field="2" count="0"/>
        </references>
      </pivotArea>
    </format>
    <format dxfId="271">
      <pivotArea field="2" grandRow="1" outline="0" collapsedLevelsAreSubtotals="1" axis="axisRow" fieldPosition="0">
        <references count="1">
          <reference field="4294967294" count="1" selected="0">
            <x v="1"/>
          </reference>
        </references>
      </pivotArea>
    </format>
    <format dxfId="268">
      <pivotArea field="2" type="button" dataOnly="0" labelOnly="1" outline="0" axis="axisRow" fieldPosition="0"/>
    </format>
    <format dxfId="267">
      <pivotArea dataOnly="0" labelOnly="1" outline="0" fieldPosition="0">
        <references count="1">
          <reference field="4294967294" count="1">
            <x v="0"/>
          </reference>
        </references>
      </pivotArea>
    </format>
    <format dxfId="266">
      <pivotArea dataOnly="0" labelOnly="1" outline="0" fieldPosition="0">
        <references count="1">
          <reference field="4294967294" count="1">
            <x v="1"/>
          </reference>
        </references>
      </pivotArea>
    </format>
    <format dxfId="254">
      <pivotArea collapsedLevelsAreSubtotals="1" fieldPosition="0">
        <references count="2">
          <reference field="4294967294" count="1" selected="0">
            <x v="1"/>
          </reference>
          <reference field="2" count="1">
            <x v="0"/>
          </reference>
        </references>
      </pivotArea>
    </format>
    <format dxfId="253">
      <pivotArea collapsedLevelsAreSubtotals="1" fieldPosition="0">
        <references count="2">
          <reference field="4294967294" count="1" selected="0">
            <x v="1"/>
          </reference>
          <reference field="2" count="1">
            <x v="1"/>
          </reference>
        </references>
      </pivotArea>
    </format>
    <format dxfId="252">
      <pivotArea collapsedLevelsAreSubtotals="1" fieldPosition="0">
        <references count="2">
          <reference field="4294967294" count="1" selected="0">
            <x v="1"/>
          </reference>
          <reference field="2" count="1">
            <x v="2"/>
          </reference>
        </references>
      </pivotArea>
    </format>
    <format dxfId="251">
      <pivotArea collapsedLevelsAreSubtotals="1" fieldPosition="0">
        <references count="2">
          <reference field="4294967294" count="1" selected="0">
            <x v="1"/>
          </reference>
          <reference field="2" count="1">
            <x v="3"/>
          </reference>
        </references>
      </pivotArea>
    </format>
    <format dxfId="250">
      <pivotArea collapsedLevelsAreSubtotals="1" fieldPosition="0">
        <references count="2">
          <reference field="4294967294" count="1" selected="0">
            <x v="1"/>
          </reference>
          <reference field="2" count="1">
            <x v="4"/>
          </reference>
        </references>
      </pivotArea>
    </format>
    <format dxfId="249">
      <pivotArea collapsedLevelsAreSubtotals="1" fieldPosition="0">
        <references count="2">
          <reference field="4294967294" count="1" selected="0">
            <x v="0"/>
          </reference>
          <reference field="2" count="1">
            <x v="0"/>
          </reference>
        </references>
      </pivotArea>
    </format>
    <format dxfId="248">
      <pivotArea collapsedLevelsAreSubtotals="1" fieldPosition="0">
        <references count="2">
          <reference field="4294967294" count="1" selected="0">
            <x v="0"/>
          </reference>
          <reference field="2" count="1">
            <x v="1"/>
          </reference>
        </references>
      </pivotArea>
    </format>
    <format dxfId="247">
      <pivotArea collapsedLevelsAreSubtotals="1" fieldPosition="0">
        <references count="2">
          <reference field="4294967294" count="1" selected="0">
            <x v="0"/>
          </reference>
          <reference field="2" count="1">
            <x v="2"/>
          </reference>
        </references>
      </pivotArea>
    </format>
    <format dxfId="246">
      <pivotArea collapsedLevelsAreSubtotals="1" fieldPosition="0">
        <references count="2">
          <reference field="4294967294" count="1" selected="0">
            <x v="0"/>
          </reference>
          <reference field="2" count="1">
            <x v="3"/>
          </reference>
        </references>
      </pivotArea>
    </format>
    <format dxfId="245">
      <pivotArea collapsedLevelsAreSubtotals="1" fieldPosition="0">
        <references count="2">
          <reference field="4294967294" count="1" selected="0">
            <x v="0"/>
          </reference>
          <reference field="2" count="1">
            <x v="4"/>
          </reference>
        </references>
      </pivotArea>
    </format>
    <format dxfId="244">
      <pivotArea field="2" grandRow="1" outline="0" collapsedLevelsAreSubtotals="1" axis="axisRow" fieldPosition="0">
        <references count="1">
          <reference field="4294967294" count="1" selected="0">
            <x v="0"/>
          </reference>
        </references>
      </pivotArea>
    </format>
    <format dxfId="243">
      <pivotArea field="2" grandRow="1" outline="0" collapsedLevelsAreSubtotals="1" axis="axisRow" fieldPosition="0">
        <references count="1">
          <reference field="4294967294" count="1" selected="0">
            <x v="1"/>
          </reference>
        </references>
      </pivotArea>
    </format>
  </formats>
  <pivotHierarchies count="2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caption="Avg Exam Score"/>
    <pivotHierarchy dragToData="1" caption="Stude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habits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913231-B8AC-43B8-92F7-6398D830EF3E}" name="PivotTable4" cacheId="10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endance">
  <location ref="F13:H19" firstHeaderRow="0" firstDataRow="1" firstDataCol="1"/>
  <pivotFields count="6">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Fields count="1">
    <field x="-2"/>
  </colFields>
  <colItems count="2">
    <i>
      <x/>
    </i>
    <i i="1">
      <x v="1"/>
    </i>
  </colItems>
  <dataFields count="2">
    <dataField name="Avg Exam Score" fld="0" subtotal="average" baseField="0" baseItem="0"/>
    <dataField name="Student" fld="1" subtotal="count" baseField="0" baseItem="0"/>
  </dataFields>
  <formats count="23">
    <format dxfId="278">
      <pivotArea grandRow="1" outline="0" collapsedLevelsAreSubtotals="1" fieldPosition="0"/>
    </format>
    <format dxfId="277">
      <pivotArea collapsedLevelsAreSubtotals="1" fieldPosition="0">
        <references count="2">
          <reference field="4294967294" count="1" selected="0">
            <x v="0"/>
          </reference>
          <reference field="2" count="0"/>
        </references>
      </pivotArea>
    </format>
    <format dxfId="276">
      <pivotArea field="2" grandRow="1" outline="0" collapsedLevelsAreSubtotals="1" axis="axisRow" fieldPosition="0">
        <references count="1">
          <reference field="4294967294" count="1" selected="0">
            <x v="1"/>
          </reference>
        </references>
      </pivotArea>
    </format>
    <format dxfId="265">
      <pivotArea field="2" type="button" dataOnly="0" labelOnly="1" outline="0" axis="axisRow" fieldPosition="0"/>
    </format>
    <format dxfId="264">
      <pivotArea dataOnly="0" labelOnly="1" outline="0" fieldPosition="0">
        <references count="1">
          <reference field="4294967294" count="1">
            <x v="0"/>
          </reference>
        </references>
      </pivotArea>
    </format>
    <format dxfId="263">
      <pivotArea dataOnly="0" labelOnly="1" outline="0" fieldPosition="0">
        <references count="1">
          <reference field="4294967294" count="1">
            <x v="1"/>
          </reference>
        </references>
      </pivotArea>
    </format>
    <format dxfId="259">
      <pivotArea collapsedLevelsAreSubtotals="1" fieldPosition="0">
        <references count="2">
          <reference field="4294967294" count="1" selected="0">
            <x v="0"/>
          </reference>
          <reference field="2" count="1">
            <x v="4"/>
          </reference>
        </references>
      </pivotArea>
    </format>
    <format dxfId="258">
      <pivotArea collapsedLevelsAreSubtotals="1" fieldPosition="0">
        <references count="2">
          <reference field="4294967294" count="1" selected="0">
            <x v="0"/>
          </reference>
          <reference field="2" count="1">
            <x v="0"/>
          </reference>
        </references>
      </pivotArea>
    </format>
    <format dxfId="257">
      <pivotArea collapsedLevelsAreSubtotals="1" fieldPosition="0">
        <references count="2">
          <reference field="4294967294" count="1" selected="0">
            <x v="0"/>
          </reference>
          <reference field="2" count="1">
            <x v="2"/>
          </reference>
        </references>
      </pivotArea>
    </format>
    <format dxfId="256">
      <pivotArea collapsedLevelsAreSubtotals="1" fieldPosition="0">
        <references count="2">
          <reference field="4294967294" count="1" selected="0">
            <x v="0"/>
          </reference>
          <reference field="2" count="1">
            <x v="3"/>
          </reference>
        </references>
      </pivotArea>
    </format>
    <format dxfId="255">
      <pivotArea collapsedLevelsAreSubtotals="1" fieldPosition="0">
        <references count="2">
          <reference field="4294967294" count="1" selected="0">
            <x v="0"/>
          </reference>
          <reference field="2" count="1">
            <x v="1"/>
          </reference>
        </references>
      </pivotArea>
    </format>
    <format dxfId="242">
      <pivotArea collapsedLevelsAreSubtotals="1" fieldPosition="0">
        <references count="2">
          <reference field="4294967294" count="1" selected="0">
            <x v="1"/>
          </reference>
          <reference field="2" count="1">
            <x v="0"/>
          </reference>
        </references>
      </pivotArea>
    </format>
    <format dxfId="241">
      <pivotArea collapsedLevelsAreSubtotals="1" fieldPosition="0">
        <references count="2">
          <reference field="4294967294" count="1" selected="0">
            <x v="1"/>
          </reference>
          <reference field="2" count="1">
            <x v="1"/>
          </reference>
        </references>
      </pivotArea>
    </format>
    <format dxfId="240">
      <pivotArea collapsedLevelsAreSubtotals="1" fieldPosition="0">
        <references count="2">
          <reference field="4294967294" count="1" selected="0">
            <x v="1"/>
          </reference>
          <reference field="2" count="1">
            <x v="2"/>
          </reference>
        </references>
      </pivotArea>
    </format>
    <format dxfId="239">
      <pivotArea collapsedLevelsAreSubtotals="1" fieldPosition="0">
        <references count="2">
          <reference field="4294967294" count="1" selected="0">
            <x v="1"/>
          </reference>
          <reference field="2" count="1">
            <x v="3"/>
          </reference>
        </references>
      </pivotArea>
    </format>
    <format dxfId="238">
      <pivotArea collapsedLevelsAreSubtotals="1" fieldPosition="0">
        <references count="2">
          <reference field="4294967294" count="1" selected="0">
            <x v="1"/>
          </reference>
          <reference field="2" count="1">
            <x v="4"/>
          </reference>
        </references>
      </pivotArea>
    </format>
    <format dxfId="237">
      <pivotArea collapsedLevelsAreSubtotals="1" fieldPosition="0">
        <references count="2">
          <reference field="4294967294" count="1" selected="0">
            <x v="0"/>
          </reference>
          <reference field="2" count="1">
            <x v="0"/>
          </reference>
        </references>
      </pivotArea>
    </format>
    <format dxfId="236">
      <pivotArea collapsedLevelsAreSubtotals="1" fieldPosition="0">
        <references count="2">
          <reference field="4294967294" count="1" selected="0">
            <x v="0"/>
          </reference>
          <reference field="2" count="1">
            <x v="1"/>
          </reference>
        </references>
      </pivotArea>
    </format>
    <format dxfId="235">
      <pivotArea collapsedLevelsAreSubtotals="1" fieldPosition="0">
        <references count="2">
          <reference field="4294967294" count="1" selected="0">
            <x v="0"/>
          </reference>
          <reference field="2" count="1">
            <x v="2"/>
          </reference>
        </references>
      </pivotArea>
    </format>
    <format dxfId="234">
      <pivotArea collapsedLevelsAreSubtotals="1" fieldPosition="0">
        <references count="2">
          <reference field="4294967294" count="1" selected="0">
            <x v="0"/>
          </reference>
          <reference field="2" count="1">
            <x v="3"/>
          </reference>
        </references>
      </pivotArea>
    </format>
    <format dxfId="233">
      <pivotArea collapsedLevelsAreSubtotals="1" fieldPosition="0">
        <references count="2">
          <reference field="4294967294" count="1" selected="0">
            <x v="0"/>
          </reference>
          <reference field="2" count="1">
            <x v="4"/>
          </reference>
        </references>
      </pivotArea>
    </format>
    <format dxfId="232">
      <pivotArea field="2" grandRow="1" outline="0" collapsedLevelsAreSubtotals="1" axis="axisRow" fieldPosition="0">
        <references count="1">
          <reference field="4294967294" count="1" selected="0">
            <x v="0"/>
          </reference>
        </references>
      </pivotArea>
    </format>
    <format dxfId="231">
      <pivotArea field="2" grandRow="1" outline="0" collapsedLevelsAreSubtotals="1" axis="axisRow" fieldPosition="0">
        <references count="1">
          <reference field="4294967294" count="1" selected="0">
            <x v="1"/>
          </reference>
        </references>
      </pivotArea>
    </format>
  </formats>
  <pivotHierarchies count="2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caption="Avg Exam Score"/>
    <pivotHierarchy dragToData="1" caption="Stude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habits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BDA403-BA65-41A8-A6CA-FD0503FBEBF9}" name="PivotTable2" cacheId="10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udy Hour">
  <location ref="F5:H10" firstHeaderRow="0" firstDataRow="1" firstDataCol="1"/>
  <pivotFields count="6">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x v="1"/>
    </i>
    <i>
      <x v="2"/>
    </i>
    <i>
      <x v="3"/>
    </i>
    <i t="grand">
      <x/>
    </i>
  </rowItems>
  <colFields count="1">
    <field x="-2"/>
  </colFields>
  <colItems count="2">
    <i>
      <x/>
    </i>
    <i i="1">
      <x v="1"/>
    </i>
  </colItems>
  <dataFields count="2">
    <dataField name="Avg Exam Score" fld="0" subtotal="average" baseField="0" baseItem="0"/>
    <dataField name="Student" fld="1" subtotal="count" baseField="0" baseItem="0"/>
  </dataFields>
  <formats count="18">
    <format dxfId="281">
      <pivotArea grandRow="1" outline="0" collapsedLevelsAreSubtotals="1" fieldPosition="0"/>
    </format>
    <format dxfId="280">
      <pivotArea collapsedLevelsAreSubtotals="1" fieldPosition="0">
        <references count="2">
          <reference field="4294967294" count="1" selected="0">
            <x v="0"/>
          </reference>
          <reference field="2" count="0"/>
        </references>
      </pivotArea>
    </format>
    <format dxfId="279">
      <pivotArea field="2" grandRow="1" outline="0" collapsedLevelsAreSubtotals="1" axis="axisRow" fieldPosition="0">
        <references count="1">
          <reference field="4294967294" count="1" selected="0">
            <x v="1"/>
          </reference>
        </references>
      </pivotArea>
    </format>
    <format dxfId="275">
      <pivotArea collapsedLevelsAreSubtotals="1" fieldPosition="0">
        <references count="2">
          <reference field="4294967294" count="1" selected="0">
            <x v="0"/>
          </reference>
          <reference field="2" count="1">
            <x v="0"/>
          </reference>
        </references>
      </pivotArea>
    </format>
    <format dxfId="274">
      <pivotArea collapsedLevelsAreSubtotals="1" fieldPosition="0">
        <references count="2">
          <reference field="4294967294" count="1" selected="0">
            <x v="0"/>
          </reference>
          <reference field="2" count="1">
            <x v="2"/>
          </reference>
        </references>
      </pivotArea>
    </format>
    <format dxfId="273">
      <pivotArea collapsedLevelsAreSubtotals="1" fieldPosition="0">
        <references count="2">
          <reference field="4294967294" count="1" selected="0">
            <x v="0"/>
          </reference>
          <reference field="2" count="1">
            <x v="3"/>
          </reference>
        </references>
      </pivotArea>
    </format>
    <format dxfId="272">
      <pivotArea collapsedLevelsAreSubtotals="1" fieldPosition="0">
        <references count="2">
          <reference field="4294967294" count="1" selected="0">
            <x v="0"/>
          </reference>
          <reference field="2" count="0"/>
        </references>
      </pivotArea>
    </format>
    <format dxfId="262">
      <pivotArea field="2" type="button" dataOnly="0" labelOnly="1" outline="0" axis="axisRow" fieldPosition="0"/>
    </format>
    <format dxfId="261">
      <pivotArea dataOnly="0" labelOnly="1" outline="0" fieldPosition="0">
        <references count="1">
          <reference field="4294967294" count="1">
            <x v="0"/>
          </reference>
        </references>
      </pivotArea>
    </format>
    <format dxfId="260">
      <pivotArea dataOnly="0" labelOnly="1" outline="0" fieldPosition="0">
        <references count="1">
          <reference field="4294967294" count="1">
            <x v="1"/>
          </reference>
        </references>
      </pivotArea>
    </format>
    <format dxfId="230">
      <pivotArea collapsedLevelsAreSubtotals="1" fieldPosition="0">
        <references count="2">
          <reference field="4294967294" count="1" selected="0">
            <x v="1"/>
          </reference>
          <reference field="2" count="1">
            <x v="0"/>
          </reference>
        </references>
      </pivotArea>
    </format>
    <format dxfId="229">
      <pivotArea collapsedLevelsAreSubtotals="1" fieldPosition="0">
        <references count="2">
          <reference field="4294967294" count="1" selected="0">
            <x v="1"/>
          </reference>
          <reference field="2" count="1">
            <x v="2"/>
          </reference>
        </references>
      </pivotArea>
    </format>
    <format dxfId="228">
      <pivotArea collapsedLevelsAreSubtotals="1" fieldPosition="0">
        <references count="2">
          <reference field="4294967294" count="1" selected="0">
            <x v="1"/>
          </reference>
          <reference field="2" count="1">
            <x v="3"/>
          </reference>
        </references>
      </pivotArea>
    </format>
    <format dxfId="227">
      <pivotArea field="2" grandRow="1" outline="0" collapsedLevelsAreSubtotals="1" axis="axisRow" fieldPosition="0">
        <references count="1">
          <reference field="4294967294" count="1" selected="0">
            <x v="1"/>
          </reference>
        </references>
      </pivotArea>
    </format>
    <format dxfId="226">
      <pivotArea field="2" grandRow="1" outline="0" collapsedLevelsAreSubtotals="1" axis="axisRow" fieldPosition="0">
        <references count="1">
          <reference field="4294967294" count="1" selected="0">
            <x v="0"/>
          </reference>
        </references>
      </pivotArea>
    </format>
    <format dxfId="2">
      <pivotArea collapsedLevelsAreSubtotals="1" fieldPosition="0">
        <references count="2">
          <reference field="4294967294" count="1" selected="0">
            <x v="1"/>
          </reference>
          <reference field="2" count="1">
            <x v="1"/>
          </reference>
        </references>
      </pivotArea>
    </format>
    <format dxfId="1">
      <pivotArea collapsedLevelsAreSubtotals="1" fieldPosition="0">
        <references count="2">
          <reference field="4294967294" count="1" selected="0">
            <x v="0"/>
          </reference>
          <reference field="2" count="1">
            <x v="1"/>
          </reference>
        </references>
      </pivotArea>
    </format>
    <format dxfId="0">
      <pivotArea collapsedLevelsAreSubtotals="1" fieldPosition="0">
        <references count="2">
          <reference field="4294967294" count="1" selected="0">
            <x v="0"/>
          </reference>
          <reference field="2" count="1">
            <x v="2"/>
          </reference>
        </references>
      </pivotArea>
    </format>
  </formats>
  <pivotHierarchies count="2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caption="Avg Exam Score"/>
    <pivotHierarchy dragToData="1" caption="Stude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habits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F91CD1-C92F-4AD6-AB22-461E55D88AC8}" name="PivotTable1" cacheId="105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6" rowHeaderCaption="Gender">
  <location ref="A5:C9" firstHeaderRow="0" firstDataRow="1" firstDataCol="1"/>
  <pivotFields count="6">
    <pivotField axis="axisRow" allDrilled="1" subtotalTop="0" showAll="0"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Avg Exam Score" fld="1" subtotal="average" baseField="0" baseItem="0"/>
    <dataField name="Student" fld="2" subtotal="count" baseField="0" baseItem="0" numFmtId="1"/>
  </dataFields>
  <formats count="23">
    <format dxfId="207">
      <pivotArea collapsedLevelsAreSubtotals="1" fieldPosition="0">
        <references count="1">
          <reference field="0" count="1">
            <x v="0"/>
          </reference>
        </references>
      </pivotArea>
    </format>
    <format dxfId="208">
      <pivotArea collapsedLevelsAreSubtotals="1" fieldPosition="0">
        <references count="1">
          <reference field="0" count="1">
            <x v="1"/>
          </reference>
        </references>
      </pivotArea>
    </format>
    <format dxfId="209">
      <pivotArea collapsedLevelsAreSubtotals="1" fieldPosition="0">
        <references count="1">
          <reference field="0" count="1">
            <x v="2"/>
          </reference>
        </references>
      </pivotArea>
    </format>
    <format dxfId="210">
      <pivotArea grandRow="1" outline="0" collapsedLevelsAreSubtotals="1" fieldPosition="0"/>
    </format>
    <format dxfId="211">
      <pivotArea collapsedLevelsAreSubtotals="1" fieldPosition="0">
        <references count="2">
          <reference field="4294967294" count="1" selected="0">
            <x v="0"/>
          </reference>
          <reference field="0" count="1">
            <x v="2"/>
          </reference>
        </references>
      </pivotArea>
    </format>
    <format dxfId="212">
      <pivotArea dataOnly="0" fieldPosition="0">
        <references count="1">
          <reference field="0" count="1">
            <x v="2"/>
          </reference>
        </references>
      </pivotArea>
    </format>
    <format dxfId="213">
      <pivotArea dataOnly="0" fieldPosition="0">
        <references count="1">
          <reference field="0" count="1">
            <x v="0"/>
          </reference>
        </references>
      </pivotArea>
    </format>
    <format dxfId="214">
      <pivotArea dataOnly="0" fieldPosition="0">
        <references count="1">
          <reference field="0" count="1">
            <x v="1"/>
          </reference>
        </references>
      </pivotArea>
    </format>
    <format dxfId="215">
      <pivotArea dataOnly="0" labelOnly="1" fieldPosition="0">
        <references count="1">
          <reference field="0" count="1">
            <x v="1"/>
          </reference>
        </references>
      </pivotArea>
    </format>
    <format dxfId="216">
      <pivotArea dataOnly="0" labelOnly="1" fieldPosition="0">
        <references count="1">
          <reference field="0" count="1">
            <x v="2"/>
          </reference>
        </references>
      </pivotArea>
    </format>
    <format dxfId="217">
      <pivotArea dataOnly="0" labelOnly="1" fieldPosition="0">
        <references count="1">
          <reference field="0" count="1">
            <x v="0"/>
          </reference>
        </references>
      </pivotArea>
    </format>
    <format dxfId="218">
      <pivotArea collapsedLevelsAreSubtotals="1" fieldPosition="0">
        <references count="2">
          <reference field="4294967294" count="1" selected="0">
            <x v="0"/>
          </reference>
          <reference field="0" count="0"/>
        </references>
      </pivotArea>
    </format>
    <format dxfId="219">
      <pivotArea collapsedLevelsAreSubtotals="1" fieldPosition="0">
        <references count="2">
          <reference field="4294967294" count="1" selected="0">
            <x v="0"/>
          </reference>
          <reference field="0" count="1">
            <x v="0"/>
          </reference>
        </references>
      </pivotArea>
    </format>
    <format dxfId="220">
      <pivotArea collapsedLevelsAreSubtotals="1" fieldPosition="0">
        <references count="2">
          <reference field="4294967294" count="1" selected="0">
            <x v="0"/>
          </reference>
          <reference field="0" count="1">
            <x v="1"/>
          </reference>
        </references>
      </pivotArea>
    </format>
    <format dxfId="221">
      <pivotArea collapsedLevelsAreSubtotals="1" fieldPosition="0">
        <references count="2">
          <reference field="4294967294" count="1" selected="0">
            <x v="0"/>
          </reference>
          <reference field="0" count="1">
            <x v="2"/>
          </reference>
        </references>
      </pivotArea>
    </format>
    <format dxfId="222">
      <pivotArea collapsedLevelsAreSubtotals="1" fieldPosition="0">
        <references count="2">
          <reference field="4294967294" count="1" selected="0">
            <x v="0"/>
          </reference>
          <reference field="0" count="0"/>
        </references>
      </pivotArea>
    </format>
    <format dxfId="223">
      <pivotArea field="0" type="button" dataOnly="0" labelOnly="1" outline="0" axis="axisRow" fieldPosition="0"/>
    </format>
    <format dxfId="224">
      <pivotArea dataOnly="0" labelOnly="1" outline="0" fieldPosition="0">
        <references count="1">
          <reference field="4294967294" count="1">
            <x v="0"/>
          </reference>
        </references>
      </pivotArea>
    </format>
    <format dxfId="225">
      <pivotArea field="0" grandRow="1" outline="0" collapsedLevelsAreSubtotals="1" axis="axisRow" fieldPosition="0">
        <references count="1">
          <reference field="4294967294" count="1" selected="0">
            <x v="0"/>
          </reference>
        </references>
      </pivotArea>
    </format>
    <format dxfId="206">
      <pivotArea outline="0" collapsedLevelsAreSubtotals="1" fieldPosition="0">
        <references count="1">
          <reference field="4294967294" count="1" selected="0">
            <x v="1"/>
          </reference>
        </references>
      </pivotArea>
    </format>
    <format dxfId="205">
      <pivotArea dataOnly="0" labelOnly="1" outline="0" fieldPosition="0">
        <references count="1">
          <reference field="4294967294" count="1">
            <x v="1"/>
          </reference>
        </references>
      </pivotArea>
    </format>
    <format dxfId="204">
      <pivotArea outline="0" collapsedLevelsAreSubtotals="1" fieldPosition="0">
        <references count="1">
          <reference field="4294967294" count="1" selected="0">
            <x v="1"/>
          </reference>
        </references>
      </pivotArea>
    </format>
    <format dxfId="203">
      <pivotArea outline="0" collapsedLevelsAreSubtotals="1" fieldPosition="0">
        <references count="1">
          <reference field="4294967294" count="1" selected="0">
            <x v="1"/>
          </reference>
        </references>
      </pivotArea>
    </format>
  </formats>
  <pivotHierarchies count="2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caption="Avg Exam Score"/>
    <pivotHierarchy dragToData="1" caption="Stude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habits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AEDC48-E6CD-4FEF-B473-3DCA596E3F26}" name="PivotTable9" cacheId="108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6" rowHeaderCaption="Gender">
  <location ref="E12:F16" firstHeaderRow="1" firstDataRow="1" firstDataCol="1"/>
  <pivotFields count="5">
    <pivotField axis="axisRow" allDrilled="1" subtotalTop="0" showAll="0"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Avg Exam Score" fld="1" subtotal="average" baseField="0" baseItem="0"/>
  </dataFields>
  <formats count="19">
    <format dxfId="150">
      <pivotArea collapsedLevelsAreSubtotals="1" fieldPosition="0">
        <references count="1">
          <reference field="0" count="1">
            <x v="0"/>
          </reference>
        </references>
      </pivotArea>
    </format>
    <format dxfId="151">
      <pivotArea collapsedLevelsAreSubtotals="1" fieldPosition="0">
        <references count="1">
          <reference field="0" count="1">
            <x v="1"/>
          </reference>
        </references>
      </pivotArea>
    </format>
    <format dxfId="152">
      <pivotArea collapsedLevelsAreSubtotals="1" fieldPosition="0">
        <references count="1">
          <reference field="0" count="1">
            <x v="2"/>
          </reference>
        </references>
      </pivotArea>
    </format>
    <format dxfId="153">
      <pivotArea grandRow="1" outline="0" collapsedLevelsAreSubtotals="1" fieldPosition="0"/>
    </format>
    <format dxfId="154">
      <pivotArea collapsedLevelsAreSubtotals="1" fieldPosition="0">
        <references count="2">
          <reference field="4294967294" count="1" selected="0">
            <x v="0"/>
          </reference>
          <reference field="0" count="1">
            <x v="2"/>
          </reference>
        </references>
      </pivotArea>
    </format>
    <format dxfId="155">
      <pivotArea dataOnly="0" fieldPosition="0">
        <references count="1">
          <reference field="0" count="1">
            <x v="2"/>
          </reference>
        </references>
      </pivotArea>
    </format>
    <format dxfId="156">
      <pivotArea dataOnly="0" fieldPosition="0">
        <references count="1">
          <reference field="0" count="1">
            <x v="0"/>
          </reference>
        </references>
      </pivotArea>
    </format>
    <format dxfId="157">
      <pivotArea dataOnly="0" fieldPosition="0">
        <references count="1">
          <reference field="0" count="1">
            <x v="1"/>
          </reference>
        </references>
      </pivotArea>
    </format>
    <format dxfId="158">
      <pivotArea dataOnly="0" labelOnly="1" fieldPosition="0">
        <references count="1">
          <reference field="0" count="1">
            <x v="1"/>
          </reference>
        </references>
      </pivotArea>
    </format>
    <format dxfId="159">
      <pivotArea dataOnly="0" labelOnly="1" fieldPosition="0">
        <references count="1">
          <reference field="0" count="1">
            <x v="2"/>
          </reference>
        </references>
      </pivotArea>
    </format>
    <format dxfId="160">
      <pivotArea dataOnly="0" labelOnly="1" fieldPosition="0">
        <references count="1">
          <reference field="0" count="1">
            <x v="0"/>
          </reference>
        </references>
      </pivotArea>
    </format>
    <format dxfId="161">
      <pivotArea collapsedLevelsAreSubtotals="1" fieldPosition="0">
        <references count="2">
          <reference field="4294967294" count="1" selected="0">
            <x v="0"/>
          </reference>
          <reference field="0" count="0"/>
        </references>
      </pivotArea>
    </format>
    <format dxfId="162">
      <pivotArea collapsedLevelsAreSubtotals="1" fieldPosition="0">
        <references count="2">
          <reference field="4294967294" count="1" selected="0">
            <x v="0"/>
          </reference>
          <reference field="0" count="1">
            <x v="0"/>
          </reference>
        </references>
      </pivotArea>
    </format>
    <format dxfId="163">
      <pivotArea collapsedLevelsAreSubtotals="1" fieldPosition="0">
        <references count="2">
          <reference field="4294967294" count="1" selected="0">
            <x v="0"/>
          </reference>
          <reference field="0" count="1">
            <x v="1"/>
          </reference>
        </references>
      </pivotArea>
    </format>
    <format dxfId="164">
      <pivotArea collapsedLevelsAreSubtotals="1" fieldPosition="0">
        <references count="2">
          <reference field="4294967294" count="1" selected="0">
            <x v="0"/>
          </reference>
          <reference field="0" count="1">
            <x v="2"/>
          </reference>
        </references>
      </pivotArea>
    </format>
    <format dxfId="165">
      <pivotArea collapsedLevelsAreSubtotals="1" fieldPosition="0">
        <references count="2">
          <reference field="4294967294" count="1" selected="0">
            <x v="0"/>
          </reference>
          <reference field="0" count="0"/>
        </references>
      </pivotArea>
    </format>
    <format dxfId="166">
      <pivotArea field="0" type="button" dataOnly="0" labelOnly="1" outline="0" axis="axisRow" fieldPosition="0"/>
    </format>
    <format dxfId="167">
      <pivotArea dataOnly="0" labelOnly="1" outline="0" fieldPosition="0">
        <references count="1">
          <reference field="4294967294" count="1">
            <x v="0"/>
          </reference>
        </references>
      </pivotArea>
    </format>
    <format dxfId="168">
      <pivotArea field="0" grandRow="1" outline="0" collapsedLevelsAreSubtotals="1" axis="axisRow" fieldPosition="0">
        <references count="1">
          <reference field="4294967294" count="1" selected="0">
            <x v="0"/>
          </reference>
        </references>
      </pivotArea>
    </format>
  </formats>
  <chartFormats count="12">
    <chartFormat chart="15"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7" format="1">
      <pivotArea type="data" outline="0" fieldPosition="0">
        <references count="2">
          <reference field="4294967294" count="1" selected="0">
            <x v="0"/>
          </reference>
          <reference field="0" count="1" selected="0">
            <x v="2"/>
          </reference>
        </references>
      </pivotArea>
    </chartFormat>
    <chartFormat chart="37" format="2">
      <pivotArea type="data" outline="0" fieldPosition="0">
        <references count="2">
          <reference field="4294967294" count="1" selected="0">
            <x v="0"/>
          </reference>
          <reference field="0" count="1" selected="0">
            <x v="1"/>
          </reference>
        </references>
      </pivotArea>
    </chartFormat>
    <chartFormat chart="37" format="3">
      <pivotArea type="data" outline="0" fieldPosition="0">
        <references count="2">
          <reference field="4294967294" count="1" selected="0">
            <x v="0"/>
          </reference>
          <reference field="0" count="1" selected="0">
            <x v="0"/>
          </reference>
        </references>
      </pivotArea>
    </chartFormat>
    <chartFormat chart="45" format="16" series="1">
      <pivotArea type="data" outline="0" fieldPosition="0">
        <references count="1">
          <reference field="4294967294" count="1" selected="0">
            <x v="0"/>
          </reference>
        </references>
      </pivotArea>
    </chartFormat>
    <chartFormat chart="45" format="17">
      <pivotArea type="data" outline="0" fieldPosition="0">
        <references count="2">
          <reference field="4294967294" count="1" selected="0">
            <x v="0"/>
          </reference>
          <reference field="0" count="1" selected="0">
            <x v="0"/>
          </reference>
        </references>
      </pivotArea>
    </chartFormat>
    <chartFormat chart="45" format="18">
      <pivotArea type="data" outline="0" fieldPosition="0">
        <references count="2">
          <reference field="4294967294" count="1" selected="0">
            <x v="0"/>
          </reference>
          <reference field="0" count="1" selected="0">
            <x v="1"/>
          </reference>
        </references>
      </pivotArea>
    </chartFormat>
    <chartFormat chart="45" format="19">
      <pivotArea type="data" outline="0" fieldPosition="0">
        <references count="2">
          <reference field="4294967294" count="1" selected="0">
            <x v="0"/>
          </reference>
          <reference field="0" count="1" selected="0">
            <x v="2"/>
          </reference>
        </references>
      </pivotArea>
    </chartFormat>
  </chartFormats>
  <pivotHierarchies count="2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caption="Avg Exam Score"/>
    <pivotHierarchy dragToData="1" caption="Stude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habits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936D829-6779-4EE7-8848-436163A09E60}" name="PivotTable8" cacheId="10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tudy Hour">
  <location ref="J12:K17" firstHeaderRow="1"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Avg Exam Score" fld="0" subtotal="average" baseField="0" baseItem="0"/>
  </dataFields>
  <formats count="9">
    <format dxfId="169">
      <pivotArea grandRow="1" outline="0" collapsedLevelsAreSubtotals="1" fieldPosition="0"/>
    </format>
    <format dxfId="170">
      <pivotArea collapsedLevelsAreSubtotals="1" fieldPosition="0">
        <references count="2">
          <reference field="4294967294" count="1" selected="0">
            <x v="0"/>
          </reference>
          <reference field="1" count="0"/>
        </references>
      </pivotArea>
    </format>
    <format dxfId="171">
      <pivotArea collapsedLevelsAreSubtotals="1" fieldPosition="0">
        <references count="2">
          <reference field="4294967294" count="1" selected="0">
            <x v="0"/>
          </reference>
          <reference field="1" count="1">
            <x v="0"/>
          </reference>
        </references>
      </pivotArea>
    </format>
    <format dxfId="172">
      <pivotArea collapsedLevelsAreSubtotals="1" fieldPosition="0">
        <references count="2">
          <reference field="4294967294" count="1" selected="0">
            <x v="0"/>
          </reference>
          <reference field="1" count="1">
            <x v="2"/>
          </reference>
        </references>
      </pivotArea>
    </format>
    <format dxfId="173">
      <pivotArea collapsedLevelsAreSubtotals="1" fieldPosition="0">
        <references count="2">
          <reference field="4294967294" count="1" selected="0">
            <x v="0"/>
          </reference>
          <reference field="1" count="1">
            <x v="3"/>
          </reference>
        </references>
      </pivotArea>
    </format>
    <format dxfId="174">
      <pivotArea collapsedLevelsAreSubtotals="1" fieldPosition="0">
        <references count="2">
          <reference field="4294967294" count="1" selected="0">
            <x v="0"/>
          </reference>
          <reference field="1" count="0"/>
        </references>
      </pivotArea>
    </format>
    <format dxfId="175">
      <pivotArea field="1" type="button" dataOnly="0" labelOnly="1" outline="0" axis="axisRow" fieldPosition="0"/>
    </format>
    <format dxfId="176">
      <pivotArea dataOnly="0" labelOnly="1" outline="0" fieldPosition="0">
        <references count="1">
          <reference field="4294967294" count="1">
            <x v="0"/>
          </reference>
        </references>
      </pivotArea>
    </format>
    <format dxfId="177">
      <pivotArea field="1" grandRow="1" outline="0" collapsedLevelsAreSubtotals="1" axis="axisRow" fieldPosition="0">
        <references count="1">
          <reference field="4294967294" count="1" selected="0">
            <x v="0"/>
          </reference>
        </references>
      </pivotArea>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3"/>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 count="1" selected="0">
            <x v="0"/>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s>
  <pivotHierarchies count="2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caption="Avg Exam Score"/>
    <pivotHierarchy dragToData="1" caption="Stude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habits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8B9194C-F5AA-4F7E-8114-BDB6AFC70989}" name="PivotTable7" cacheId="10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ttendance">
  <location ref="J20:K26" firstHeaderRow="1" firstDataRow="1" firstDataCol="1"/>
  <pivotFields count="5">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Avg Exam Score" fld="0" subtotal="average" baseField="0" baseItem="0"/>
  </dataFields>
  <formats count="15">
    <format dxfId="178">
      <pivotArea grandRow="1" outline="0" collapsedLevelsAreSubtotals="1" fieldPosition="0"/>
    </format>
    <format dxfId="179">
      <pivotArea collapsedLevelsAreSubtotals="1" fieldPosition="0">
        <references count="2">
          <reference field="4294967294" count="1" selected="0">
            <x v="0"/>
          </reference>
          <reference field="1" count="0"/>
        </references>
      </pivotArea>
    </format>
    <format dxfId="180">
      <pivotArea field="1" type="button" dataOnly="0" labelOnly="1" outline="0" axis="axisRow" fieldPosition="0"/>
    </format>
    <format dxfId="181">
      <pivotArea dataOnly="0" labelOnly="1" outline="0" fieldPosition="0">
        <references count="1">
          <reference field="4294967294" count="1">
            <x v="0"/>
          </reference>
        </references>
      </pivotArea>
    </format>
    <format dxfId="182">
      <pivotArea collapsedLevelsAreSubtotals="1" fieldPosition="0">
        <references count="2">
          <reference field="4294967294" count="1" selected="0">
            <x v="0"/>
          </reference>
          <reference field="1" count="1">
            <x v="4"/>
          </reference>
        </references>
      </pivotArea>
    </format>
    <format dxfId="183">
      <pivotArea collapsedLevelsAreSubtotals="1" fieldPosition="0">
        <references count="2">
          <reference field="4294967294" count="1" selected="0">
            <x v="0"/>
          </reference>
          <reference field="1" count="1">
            <x v="0"/>
          </reference>
        </references>
      </pivotArea>
    </format>
    <format dxfId="184">
      <pivotArea collapsedLevelsAreSubtotals="1" fieldPosition="0">
        <references count="2">
          <reference field="4294967294" count="1" selected="0">
            <x v="0"/>
          </reference>
          <reference field="1" count="1">
            <x v="2"/>
          </reference>
        </references>
      </pivotArea>
    </format>
    <format dxfId="185">
      <pivotArea collapsedLevelsAreSubtotals="1" fieldPosition="0">
        <references count="2">
          <reference field="4294967294" count="1" selected="0">
            <x v="0"/>
          </reference>
          <reference field="1" count="1">
            <x v="3"/>
          </reference>
        </references>
      </pivotArea>
    </format>
    <format dxfId="186">
      <pivotArea collapsedLevelsAreSubtotals="1" fieldPosition="0">
        <references count="2">
          <reference field="4294967294" count="1" selected="0">
            <x v="0"/>
          </reference>
          <reference field="1" count="1">
            <x v="1"/>
          </reference>
        </references>
      </pivotArea>
    </format>
    <format dxfId="187">
      <pivotArea collapsedLevelsAreSubtotals="1" fieldPosition="0">
        <references count="2">
          <reference field="4294967294" count="1" selected="0">
            <x v="0"/>
          </reference>
          <reference field="1" count="1">
            <x v="0"/>
          </reference>
        </references>
      </pivotArea>
    </format>
    <format dxfId="188">
      <pivotArea collapsedLevelsAreSubtotals="1" fieldPosition="0">
        <references count="2">
          <reference field="4294967294" count="1" selected="0">
            <x v="0"/>
          </reference>
          <reference field="1" count="1">
            <x v="1"/>
          </reference>
        </references>
      </pivotArea>
    </format>
    <format dxfId="189">
      <pivotArea collapsedLevelsAreSubtotals="1" fieldPosition="0">
        <references count="2">
          <reference field="4294967294" count="1" selected="0">
            <x v="0"/>
          </reference>
          <reference field="1" count="1">
            <x v="2"/>
          </reference>
        </references>
      </pivotArea>
    </format>
    <format dxfId="190">
      <pivotArea collapsedLevelsAreSubtotals="1" fieldPosition="0">
        <references count="2">
          <reference field="4294967294" count="1" selected="0">
            <x v="0"/>
          </reference>
          <reference field="1" count="1">
            <x v="3"/>
          </reference>
        </references>
      </pivotArea>
    </format>
    <format dxfId="191">
      <pivotArea collapsedLevelsAreSubtotals="1" fieldPosition="0">
        <references count="2">
          <reference field="4294967294" count="1" selected="0">
            <x v="0"/>
          </reference>
          <reference field="1" count="1">
            <x v="4"/>
          </reference>
        </references>
      </pivotArea>
    </format>
    <format dxfId="192">
      <pivotArea field="1" grandRow="1" outline="0" collapsedLevelsAreSubtotals="1" axis="axisRow" fieldPosition="0">
        <references count="1">
          <reference field="4294967294" count="1" selected="0">
            <x v="0"/>
          </reference>
        </references>
      </pivotArea>
    </format>
  </format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3"/>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4"/>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 count="1" selected="0">
            <x v="0"/>
          </reference>
        </references>
      </pivotArea>
    </chartFormat>
    <chartFormat chart="4" format="14">
      <pivotArea type="data" outline="0" fieldPosition="0">
        <references count="2">
          <reference field="4294967294" count="1" selected="0">
            <x v="0"/>
          </reference>
          <reference field="1" count="1" selected="0">
            <x v="1"/>
          </reference>
        </references>
      </pivotArea>
    </chartFormat>
    <chartFormat chart="4" format="15">
      <pivotArea type="data" outline="0" fieldPosition="0">
        <references count="2">
          <reference field="4294967294" count="1" selected="0">
            <x v="0"/>
          </reference>
          <reference field="1" count="1" selected="0">
            <x v="2"/>
          </reference>
        </references>
      </pivotArea>
    </chartFormat>
    <chartFormat chart="4" format="16">
      <pivotArea type="data" outline="0" fieldPosition="0">
        <references count="2">
          <reference field="4294967294" count="1" selected="0">
            <x v="0"/>
          </reference>
          <reference field="1" count="1" selected="0">
            <x v="3"/>
          </reference>
        </references>
      </pivotArea>
    </chartFormat>
    <chartFormat chart="4" format="17">
      <pivotArea type="data" outline="0" fieldPosition="0">
        <references count="2">
          <reference field="4294967294" count="1" selected="0">
            <x v="0"/>
          </reference>
          <reference field="1" count="1" selected="0">
            <x v="4"/>
          </reference>
        </references>
      </pivotArea>
    </chartFormat>
  </chartFormats>
  <pivotHierarchies count="2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caption="Avg Exam Score"/>
    <pivotHierarchy dragToData="1" caption="Stude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habits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AF7118C-B8A3-47E6-806D-BBD5A84D1AE4}" name="PivotTable6" cacheId="10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ocial Hour">
  <location ref="E20:F26" firstHeaderRow="1" firstDataRow="1" firstDataCol="1"/>
  <pivotFields count="5">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Avg Exam Score" fld="0" subtotal="average" baseField="0" baseItem="0"/>
  </dataFields>
  <formats count="10">
    <format dxfId="193">
      <pivotArea grandRow="1" outline="0" collapsedLevelsAreSubtotals="1" fieldPosition="0"/>
    </format>
    <format dxfId="194">
      <pivotArea collapsedLevelsAreSubtotals="1" fieldPosition="0">
        <references count="2">
          <reference field="4294967294" count="1" selected="0">
            <x v="0"/>
          </reference>
          <reference field="1" count="0"/>
        </references>
      </pivotArea>
    </format>
    <format dxfId="195">
      <pivotArea field="1" type="button" dataOnly="0" labelOnly="1" outline="0" axis="axisRow" fieldPosition="0"/>
    </format>
    <format dxfId="196">
      <pivotArea dataOnly="0" labelOnly="1" outline="0" fieldPosition="0">
        <references count="1">
          <reference field="4294967294" count="1">
            <x v="0"/>
          </reference>
        </references>
      </pivotArea>
    </format>
    <format dxfId="197">
      <pivotArea collapsedLevelsAreSubtotals="1" fieldPosition="0">
        <references count="2">
          <reference field="4294967294" count="1" selected="0">
            <x v="0"/>
          </reference>
          <reference field="1" count="1">
            <x v="0"/>
          </reference>
        </references>
      </pivotArea>
    </format>
    <format dxfId="198">
      <pivotArea collapsedLevelsAreSubtotals="1" fieldPosition="0">
        <references count="2">
          <reference field="4294967294" count="1" selected="0">
            <x v="0"/>
          </reference>
          <reference field="1" count="1">
            <x v="1"/>
          </reference>
        </references>
      </pivotArea>
    </format>
    <format dxfId="199">
      <pivotArea collapsedLevelsAreSubtotals="1" fieldPosition="0">
        <references count="2">
          <reference field="4294967294" count="1" selected="0">
            <x v="0"/>
          </reference>
          <reference field="1" count="1">
            <x v="2"/>
          </reference>
        </references>
      </pivotArea>
    </format>
    <format dxfId="200">
      <pivotArea collapsedLevelsAreSubtotals="1" fieldPosition="0">
        <references count="2">
          <reference field="4294967294" count="1" selected="0">
            <x v="0"/>
          </reference>
          <reference field="1" count="1">
            <x v="3"/>
          </reference>
        </references>
      </pivotArea>
    </format>
    <format dxfId="201">
      <pivotArea collapsedLevelsAreSubtotals="1" fieldPosition="0">
        <references count="2">
          <reference field="4294967294" count="1" selected="0">
            <x v="0"/>
          </reference>
          <reference field="1" count="1">
            <x v="4"/>
          </reference>
        </references>
      </pivotArea>
    </format>
    <format dxfId="202">
      <pivotArea field="1" grandRow="1" outline="0" collapsedLevelsAreSubtotals="1" axis="axisRow" fieldPosition="0">
        <references count="1">
          <reference field="4294967294" count="1" selected="0">
            <x v="0"/>
          </reference>
        </references>
      </pivotArea>
    </format>
  </formats>
  <chartFormats count="10">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 count="1" selected="0">
            <x v="4"/>
          </reference>
        </references>
      </pivotArea>
    </chartFormat>
    <chartFormat chart="5" format="2">
      <pivotArea type="data" outline="0" fieldPosition="0">
        <references count="2">
          <reference field="4294967294" count="1" selected="0">
            <x v="0"/>
          </reference>
          <reference field="1" count="1" selected="0">
            <x v="3"/>
          </reference>
        </references>
      </pivotArea>
    </chartFormat>
    <chartFormat chart="5" format="3">
      <pivotArea type="data" outline="0" fieldPosition="0">
        <references count="2">
          <reference field="4294967294" count="1" selected="0">
            <x v="0"/>
          </reference>
          <reference field="1" count="1" selected="0">
            <x v="2"/>
          </reference>
        </references>
      </pivotArea>
    </chartFormat>
    <chartFormat chart="5" format="4">
      <pivotArea type="data" outline="0" fieldPosition="0">
        <references count="2">
          <reference field="4294967294" count="1" selected="0">
            <x v="0"/>
          </reference>
          <reference field="1" count="1" selected="0">
            <x v="1"/>
          </reference>
        </references>
      </pivotArea>
    </chartFormat>
    <chartFormat chart="11" format="30" series="1">
      <pivotArea type="data" outline="0" fieldPosition="0">
        <references count="1">
          <reference field="4294967294" count="1" selected="0">
            <x v="0"/>
          </reference>
        </references>
      </pivotArea>
    </chartFormat>
    <chartFormat chart="11" format="31">
      <pivotArea type="data" outline="0" fieldPosition="0">
        <references count="2">
          <reference field="4294967294" count="1" selected="0">
            <x v="0"/>
          </reference>
          <reference field="1" count="1" selected="0">
            <x v="1"/>
          </reference>
        </references>
      </pivotArea>
    </chartFormat>
    <chartFormat chart="11" format="32">
      <pivotArea type="data" outline="0" fieldPosition="0">
        <references count="2">
          <reference field="4294967294" count="1" selected="0">
            <x v="0"/>
          </reference>
          <reference field="1" count="1" selected="0">
            <x v="2"/>
          </reference>
        </references>
      </pivotArea>
    </chartFormat>
    <chartFormat chart="11" format="33">
      <pivotArea type="data" outline="0" fieldPosition="0">
        <references count="2">
          <reference field="4294967294" count="1" selected="0">
            <x v="0"/>
          </reference>
          <reference field="1" count="1" selected="0">
            <x v="3"/>
          </reference>
        </references>
      </pivotArea>
    </chartFormat>
    <chartFormat chart="11" format="34">
      <pivotArea type="data" outline="0" fieldPosition="0">
        <references count="2">
          <reference field="4294967294" count="1" selected="0">
            <x v="0"/>
          </reference>
          <reference field="1" count="1" selected="0">
            <x v="4"/>
          </reference>
        </references>
      </pivotArea>
    </chartFormat>
  </chartFormats>
  <pivotHierarchies count="2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caption="Avg Exam Score"/>
    <pivotHierarchy dragToData="1" caption="Stude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habits_performanc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AD69235-A961-4C1B-9C41-8686A4641047}" sourceName="[student_habits_performance].[gender]">
  <pivotTables>
    <pivotTable tabId="1" name="PivotTable10"/>
    <pivotTable tabId="1" name="PivotTable1"/>
    <pivotTable tabId="1" name="PivotTable11"/>
    <pivotTable tabId="1" name="PivotTable12"/>
    <pivotTable tabId="1" name="PivotTable13"/>
    <pivotTable tabId="1" name="PivotTable2"/>
    <pivotTable tabId="1" name="PivotTable4"/>
    <pivotTable tabId="1" name="PivotTable5"/>
    <pivotTable tabId="2" name="PivotTable6"/>
    <pivotTable tabId="2" name="PivotTable7"/>
    <pivotTable tabId="2" name="PivotTable8"/>
    <pivotTable tabId="2" name="PivotTable9"/>
  </pivotTables>
  <data>
    <olap pivotCacheId="354731269">
      <levels count="2">
        <level uniqueName="[student_habits_performance].[gender].[(All)]" sourceCaption="(All)" count="0"/>
        <level uniqueName="[student_habits_performance].[gender].[gender]" sourceCaption="gender" count="3">
          <ranges>
            <range startItem="0">
              <i n="[student_habits_performance].[gender].&amp;[Female]" c="Female"/>
              <i n="[student_habits_performance].[gender].&amp;[Male]" c="Male"/>
              <i n="[student_habits_performance].[gender].&amp;[Other]" c="Other"/>
            </range>
          </ranges>
        </level>
      </levels>
      <selections count="1">
        <selection n="[student_habits_performance].[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y_Hour" xr10:uid="{55A1D596-0AC4-44CE-8F8F-88C974888539}" sourceName="[student_habits_performance].[Study Hour]">
  <pivotTables>
    <pivotTable tabId="1" name="PivotTable10"/>
    <pivotTable tabId="1" name="PivotTable1"/>
    <pivotTable tabId="1" name="PivotTable11"/>
    <pivotTable tabId="1" name="PivotTable12"/>
    <pivotTable tabId="1" name="PivotTable13"/>
    <pivotTable tabId="1" name="PivotTable2"/>
    <pivotTable tabId="1" name="PivotTable4"/>
    <pivotTable tabId="1" name="PivotTable5"/>
    <pivotTable tabId="2" name="PivotTable6"/>
    <pivotTable tabId="2" name="PivotTable7"/>
    <pivotTable tabId="2" name="PivotTable8"/>
    <pivotTable tabId="2" name="PivotTable9"/>
  </pivotTables>
  <data>
    <olap pivotCacheId="354731269">
      <levels count="2">
        <level uniqueName="[student_habits_performance].[Study Hour].[(All)]" sourceCaption="(All)" count="0"/>
        <level uniqueName="[student_habits_performance].[Study Hour].[Study Hour]" sourceCaption="Study Hour" count="4">
          <ranges>
            <range startItem="0">
              <i n="[student_habits_performance].[Study Hour].&amp;[0-2hrs]" c="0-2hrs"/>
              <i n="[student_habits_performance].[Study Hour].&amp;[3-4hrs]" c="3-4hrs"/>
              <i n="[student_habits_performance].[Study Hour].&amp;[5-6hrs]" c="5-6hrs"/>
              <i n="[student_habits_performance].[Study Hour].&amp;[7-8hrs]" c="7-8hrs"/>
            </range>
          </ranges>
        </level>
      </levels>
      <selections count="1">
        <selection n="[student_habits_performance].[Study Hou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cial_Media" xr10:uid="{918F5272-3381-49BC-8135-0AF1C7554267}" sourceName="[student_habits_performance].[Social Media]">
  <pivotTables>
    <pivotTable tabId="1" name="PivotTable10"/>
    <pivotTable tabId="1" name="PivotTable1"/>
    <pivotTable tabId="1" name="PivotTable11"/>
    <pivotTable tabId="1" name="PivotTable12"/>
    <pivotTable tabId="1" name="PivotTable13"/>
    <pivotTable tabId="1" name="PivotTable2"/>
    <pivotTable tabId="1" name="PivotTable4"/>
    <pivotTable tabId="1" name="PivotTable5"/>
    <pivotTable tabId="2" name="PivotTable6"/>
    <pivotTable tabId="2" name="PivotTable7"/>
    <pivotTable tabId="2" name="PivotTable8"/>
    <pivotTable tabId="2" name="PivotTable9"/>
  </pivotTables>
  <data>
    <olap pivotCacheId="354731269">
      <levels count="2">
        <level uniqueName="[student_habits_performance].[Social Media].[(All)]" sourceCaption="(All)" count="0"/>
        <level uniqueName="[student_habits_performance].[Social Media].[Social Media]" sourceCaption="Social Media" count="5">
          <ranges>
            <range startItem="0">
              <i n="[student_habits_performance].[Social Media].&amp;[0-1hrs]" c="0-1hrs"/>
              <i n="[student_habits_performance].[Social Media].&amp;[1-2hrs]" c="1-2hrs"/>
              <i n="[student_habits_performance].[Social Media].&amp;[2-3hrs]" c="2-3hrs"/>
              <i n="[student_habits_performance].[Social Media].&amp;[3-4hrs]" c="3-4hrs"/>
              <i n="[student_habits_performance].[Social Media].&amp;[4+hrs]" c="4+hrs"/>
            </range>
          </ranges>
        </level>
      </levels>
      <selections count="1">
        <selection n="[student_habits_performance].[Social Media].[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 xr10:uid="{3BDDC6F6-1A5D-4494-A9A0-BA35DCD7A65F}" sourceName="[student_habits_performance].[Attendance]">
  <pivotTables>
    <pivotTable tabId="1" name="PivotTable10"/>
    <pivotTable tabId="1" name="PivotTable1"/>
    <pivotTable tabId="1" name="PivotTable11"/>
    <pivotTable tabId="1" name="PivotTable12"/>
    <pivotTable tabId="1" name="PivotTable13"/>
    <pivotTable tabId="1" name="PivotTable2"/>
    <pivotTable tabId="1" name="PivotTable4"/>
    <pivotTable tabId="1" name="PivotTable5"/>
    <pivotTable tabId="2" name="PivotTable6"/>
    <pivotTable tabId="2" name="PivotTable7"/>
    <pivotTable tabId="2" name="PivotTable8"/>
    <pivotTable tabId="2" name="PivotTable9"/>
  </pivotTables>
  <data>
    <olap pivotCacheId="354731269">
      <levels count="2">
        <level uniqueName="[student_habits_performance].[Attendance].[(All)]" sourceCaption="(All)" count="0"/>
        <level uniqueName="[student_habits_performance].[Attendance].[Attendance]" sourceCaption="Attendance" count="5">
          <ranges>
            <range startItem="0">
              <i n="[student_habits_performance].[Attendance].&amp;[0-60%]" c="0-60%"/>
              <i n="[student_habits_performance].[Attendance].&amp;[61-70%]" c="61-70%"/>
              <i n="[student_habits_performance].[Attendance].&amp;[71-80%]" c="71-80%"/>
              <i n="[student_habits_performance].[Attendance].&amp;[81-90%]" c="81-90%"/>
              <i n="[student_habits_performance].[Attendance].&amp;[91-100%]" c="91-100%"/>
            </range>
          </ranges>
        </level>
      </levels>
      <selections count="1">
        <selection n="[student_habits_performance].[Attendanc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6E80DDA-9835-4DC1-9382-11176C2ADC11}" cache="Slicer_gender" caption="gender" columnCount="3" level="1" style="Slicer Style 1" rowHeight="251883"/>
  <slicer name="Study Hour" xr10:uid="{EE35AB61-C58B-4F1A-8A4C-05BF6828722D}" cache="Slicer_Study_Hour" caption="Study Hour" columnCount="2" level="1" style="Slicer Style 1" rowHeight="251883"/>
  <slicer name="Social Media" xr10:uid="{E206E5EA-1F47-448A-97D8-FB263159B541}" cache="Slicer_Social_Media" caption="Social Media" columnCount="5" level="1" style="Slicer Style 1" rowHeight="251883"/>
  <slicer name="Attendance" xr10:uid="{C4A11DF4-7449-44C3-B5A9-962667382B6B}" cache="Slicer_Attendance" caption="Attendance" columnCount="5" level="1" style="Slicer Style 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pivotTable" Target="../pivotTables/pivotTable1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7588A-C36D-4182-89F3-AC4552AB7E91}">
  <dimension ref="A1:M19"/>
  <sheetViews>
    <sheetView tabSelected="1" workbookViewId="0">
      <selection activeCell="B1" sqref="B1:L2"/>
    </sheetView>
  </sheetViews>
  <sheetFormatPr defaultRowHeight="14.5" x14ac:dyDescent="0.35"/>
  <cols>
    <col min="1" max="1" width="14.90625" bestFit="1" customWidth="1"/>
    <col min="2" max="2" width="13.81640625" bestFit="1" customWidth="1"/>
    <col min="3" max="3" width="7.453125" bestFit="1" customWidth="1"/>
    <col min="4" max="5" width="2.1796875" customWidth="1"/>
    <col min="6" max="6" width="15" bestFit="1" customWidth="1"/>
    <col min="7" max="7" width="13.81640625" bestFit="1" customWidth="1"/>
    <col min="8" max="8" width="7.453125" bestFit="1" customWidth="1"/>
    <col min="10" max="10" width="19.1796875" customWidth="1"/>
    <col min="11" max="12" width="13.81640625" bestFit="1" customWidth="1"/>
    <col min="13" max="13" width="7.453125" bestFit="1" customWidth="1"/>
  </cols>
  <sheetData>
    <row r="1" spans="1:13" ht="14.5" customHeight="1" x14ac:dyDescent="0.35">
      <c r="B1" s="40" t="s">
        <v>7</v>
      </c>
      <c r="C1" s="40"/>
      <c r="D1" s="40"/>
      <c r="E1" s="40"/>
      <c r="F1" s="40"/>
      <c r="G1" s="40"/>
      <c r="H1" s="40"/>
      <c r="I1" s="40"/>
      <c r="J1" s="40"/>
      <c r="K1" s="40"/>
      <c r="L1" s="40"/>
    </row>
    <row r="2" spans="1:13" ht="14.5" customHeight="1" x14ac:dyDescent="0.35">
      <c r="B2" s="40"/>
      <c r="C2" s="40"/>
      <c r="D2" s="40"/>
      <c r="E2" s="40"/>
      <c r="F2" s="40"/>
      <c r="G2" s="40"/>
      <c r="H2" s="40"/>
      <c r="I2" s="40"/>
      <c r="J2" s="40"/>
      <c r="K2" s="40"/>
      <c r="L2" s="40"/>
    </row>
    <row r="3" spans="1:13" ht="23.5" x14ac:dyDescent="0.35">
      <c r="B3" s="7"/>
      <c r="C3" s="8"/>
      <c r="D3" s="8"/>
      <c r="E3" s="8"/>
      <c r="F3" s="8"/>
      <c r="G3" s="8"/>
      <c r="H3" s="8"/>
      <c r="I3" s="8"/>
      <c r="J3" s="8"/>
      <c r="K3" s="7"/>
    </row>
    <row r="4" spans="1:13" ht="16" x14ac:dyDescent="0.4">
      <c r="A4" s="10" t="s">
        <v>8</v>
      </c>
      <c r="B4" s="10"/>
      <c r="C4" s="10"/>
      <c r="F4" s="9" t="s">
        <v>12</v>
      </c>
      <c r="G4" s="9"/>
      <c r="H4" s="9"/>
    </row>
    <row r="5" spans="1:13" ht="16" x14ac:dyDescent="0.4">
      <c r="A5" s="18" t="s">
        <v>4</v>
      </c>
      <c r="B5" s="1" t="s">
        <v>5</v>
      </c>
      <c r="C5" s="1" t="s">
        <v>6</v>
      </c>
      <c r="F5" s="18" t="s">
        <v>13</v>
      </c>
      <c r="G5" s="1" t="s">
        <v>5</v>
      </c>
      <c r="H5" s="1" t="s">
        <v>6</v>
      </c>
      <c r="J5" s="30"/>
      <c r="K5" s="30"/>
      <c r="L5" s="30"/>
    </row>
    <row r="6" spans="1:13" x14ac:dyDescent="0.35">
      <c r="A6" s="6" t="s">
        <v>0</v>
      </c>
      <c r="B6" s="11">
        <v>69.741372141372139</v>
      </c>
      <c r="C6" s="21">
        <v>481</v>
      </c>
      <c r="F6" s="2" t="s">
        <v>9</v>
      </c>
      <c r="G6" s="14">
        <v>46.973376623376623</v>
      </c>
      <c r="H6" s="22">
        <v>154</v>
      </c>
      <c r="J6" t="s">
        <v>31</v>
      </c>
    </row>
    <row r="7" spans="1:13" x14ac:dyDescent="0.35">
      <c r="A7" s="6" t="s">
        <v>1</v>
      </c>
      <c r="B7" s="12">
        <v>69.368343815513626</v>
      </c>
      <c r="C7" s="21">
        <v>477</v>
      </c>
      <c r="F7" s="2" t="s">
        <v>17</v>
      </c>
      <c r="G7" s="16">
        <v>74.366622864651774</v>
      </c>
      <c r="H7" s="22">
        <v>761</v>
      </c>
      <c r="J7" s="4">
        <v>1000</v>
      </c>
    </row>
    <row r="8" spans="1:13" x14ac:dyDescent="0.35">
      <c r="A8" s="6" t="s">
        <v>2</v>
      </c>
      <c r="B8" s="13">
        <v>70.647619047619045</v>
      </c>
      <c r="C8" s="21">
        <v>42</v>
      </c>
      <c r="F8" s="2" t="s">
        <v>10</v>
      </c>
      <c r="G8" s="15">
        <v>67.391566265060234</v>
      </c>
      <c r="H8" s="22">
        <v>83</v>
      </c>
    </row>
    <row r="9" spans="1:13" x14ac:dyDescent="0.35">
      <c r="A9" s="2" t="s">
        <v>3</v>
      </c>
      <c r="B9" s="23">
        <v>69.601500000000001</v>
      </c>
      <c r="C9" s="21">
        <v>1000</v>
      </c>
      <c r="F9" s="2" t="s">
        <v>11</v>
      </c>
      <c r="G9" s="17">
        <v>90.55</v>
      </c>
      <c r="H9" s="22">
        <v>2</v>
      </c>
      <c r="J9" t="s">
        <v>5</v>
      </c>
      <c r="M9" s="20"/>
    </row>
    <row r="10" spans="1:13" x14ac:dyDescent="0.35">
      <c r="F10" s="2" t="s">
        <v>3</v>
      </c>
      <c r="G10" s="23">
        <v>69.601500000000001</v>
      </c>
      <c r="H10" s="26">
        <v>1000</v>
      </c>
      <c r="J10" s="3">
        <v>69.601500000000001</v>
      </c>
    </row>
    <row r="12" spans="1:13" x14ac:dyDescent="0.35">
      <c r="A12" s="9" t="s">
        <v>20</v>
      </c>
      <c r="B12" s="9"/>
      <c r="C12" s="9"/>
      <c r="F12" s="9" t="s">
        <v>27</v>
      </c>
      <c r="G12" s="9"/>
      <c r="H12" s="9"/>
      <c r="J12" t="s">
        <v>32</v>
      </c>
    </row>
    <row r="13" spans="1:13" x14ac:dyDescent="0.35">
      <c r="A13" s="18" t="s">
        <v>19</v>
      </c>
      <c r="B13" s="1" t="s">
        <v>5</v>
      </c>
      <c r="C13" s="1" t="s">
        <v>6</v>
      </c>
      <c r="F13" s="18" t="s">
        <v>26</v>
      </c>
      <c r="G13" s="1" t="s">
        <v>5</v>
      </c>
      <c r="H13" s="1" t="s">
        <v>6</v>
      </c>
      <c r="J13" s="3">
        <v>3.5501</v>
      </c>
    </row>
    <row r="14" spans="1:13" x14ac:dyDescent="0.35">
      <c r="A14" s="2" t="s">
        <v>14</v>
      </c>
      <c r="B14" s="23">
        <v>73.944642857142853</v>
      </c>
      <c r="C14" s="22">
        <v>112</v>
      </c>
      <c r="F14" s="2" t="s">
        <v>21</v>
      </c>
      <c r="G14" s="14">
        <v>67.55714285714285</v>
      </c>
      <c r="H14" s="22">
        <v>7</v>
      </c>
    </row>
    <row r="15" spans="1:13" x14ac:dyDescent="0.35">
      <c r="A15" s="2" t="s">
        <v>15</v>
      </c>
      <c r="B15" s="23">
        <v>72.251028806584358</v>
      </c>
      <c r="C15" s="22">
        <v>243</v>
      </c>
      <c r="F15" s="2" t="s">
        <v>22</v>
      </c>
      <c r="G15" s="24">
        <v>68.092857142857142</v>
      </c>
      <c r="H15" s="22">
        <v>70</v>
      </c>
      <c r="J15" t="s">
        <v>33</v>
      </c>
    </row>
    <row r="16" spans="1:13" x14ac:dyDescent="0.35">
      <c r="A16" s="2" t="s">
        <v>16</v>
      </c>
      <c r="B16" s="23">
        <v>70.081904761904767</v>
      </c>
      <c r="C16" s="22">
        <v>315</v>
      </c>
      <c r="F16" s="2" t="s">
        <v>23</v>
      </c>
      <c r="G16" s="15">
        <v>68.246428571428567</v>
      </c>
      <c r="H16" s="22">
        <v>252</v>
      </c>
      <c r="J16" s="3">
        <v>84.131699999999995</v>
      </c>
    </row>
    <row r="17" spans="1:8" x14ac:dyDescent="0.35">
      <c r="A17" s="2" t="s">
        <v>17</v>
      </c>
      <c r="B17" s="23">
        <v>66.087606837606842</v>
      </c>
      <c r="C17" s="22">
        <v>234</v>
      </c>
      <c r="F17" s="2" t="s">
        <v>24</v>
      </c>
      <c r="G17" s="16">
        <v>69.422979797979792</v>
      </c>
      <c r="H17" s="22">
        <v>396</v>
      </c>
    </row>
    <row r="18" spans="1:8" x14ac:dyDescent="0.35">
      <c r="A18" s="2" t="s">
        <v>18</v>
      </c>
      <c r="B18" s="23">
        <v>64.816666666666663</v>
      </c>
      <c r="C18" s="22">
        <v>96</v>
      </c>
      <c r="F18" s="2" t="s">
        <v>25</v>
      </c>
      <c r="G18" s="25">
        <v>71.536363636363632</v>
      </c>
      <c r="H18" s="22">
        <v>275</v>
      </c>
    </row>
    <row r="19" spans="1:8" x14ac:dyDescent="0.35">
      <c r="A19" s="2" t="s">
        <v>3</v>
      </c>
      <c r="B19" s="23">
        <v>69.601500000000001</v>
      </c>
      <c r="C19" s="26">
        <v>1000</v>
      </c>
      <c r="F19" s="2" t="s">
        <v>3</v>
      </c>
      <c r="G19" s="23">
        <v>69.601500000000001</v>
      </c>
      <c r="H19" s="26">
        <v>1000</v>
      </c>
    </row>
  </sheetData>
  <mergeCells count="6">
    <mergeCell ref="F12:H12"/>
    <mergeCell ref="A12:C12"/>
    <mergeCell ref="J5:L5"/>
    <mergeCell ref="B1:L2"/>
    <mergeCell ref="A4:C4"/>
    <mergeCell ref="F4:H4"/>
  </mergeCells>
  <pageMargins left="0.7" right="0.7" top="0.75" bottom="0.75" header="0.3" footer="0.3"/>
  <pageSetup orientation="portrait" r:id="rId9"/>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CB4B2-8281-44FB-B243-698A4CE79048}">
  <dimension ref="C1:O26"/>
  <sheetViews>
    <sheetView zoomScale="80" workbookViewId="0"/>
  </sheetViews>
  <sheetFormatPr defaultRowHeight="14.5" x14ac:dyDescent="0.35"/>
  <cols>
    <col min="2" max="2" width="14.90625" bestFit="1" customWidth="1"/>
    <col min="3" max="3" width="13.81640625" bestFit="1" customWidth="1"/>
    <col min="5" max="5" width="12.90625" bestFit="1" customWidth="1"/>
    <col min="6" max="6" width="14.26953125" bestFit="1" customWidth="1"/>
    <col min="7" max="7" width="15" bestFit="1" customWidth="1"/>
    <col min="8" max="8" width="13.81640625" bestFit="1" customWidth="1"/>
    <col min="10" max="10" width="16" bestFit="1" customWidth="1"/>
    <col min="11" max="11" width="14.26953125" bestFit="1" customWidth="1"/>
  </cols>
  <sheetData>
    <row r="1" spans="3:15" x14ac:dyDescent="0.35">
      <c r="C1" s="41" t="s">
        <v>28</v>
      </c>
      <c r="D1" s="41"/>
      <c r="E1" s="41"/>
      <c r="F1" s="41"/>
      <c r="G1" s="41"/>
      <c r="H1" s="41"/>
      <c r="I1" s="41"/>
      <c r="J1" s="41"/>
      <c r="K1" s="41"/>
      <c r="L1" s="41"/>
      <c r="M1" s="41"/>
      <c r="N1" s="41"/>
      <c r="O1" s="41"/>
    </row>
    <row r="2" spans="3:15" x14ac:dyDescent="0.35">
      <c r="C2" s="41"/>
      <c r="D2" s="41"/>
      <c r="E2" s="41"/>
      <c r="F2" s="41"/>
      <c r="G2" s="41"/>
      <c r="H2" s="41"/>
      <c r="I2" s="41"/>
      <c r="J2" s="41"/>
      <c r="K2" s="41"/>
      <c r="L2" s="41"/>
      <c r="M2" s="41"/>
      <c r="N2" s="41"/>
      <c r="O2" s="41"/>
    </row>
    <row r="3" spans="3:15" x14ac:dyDescent="0.35">
      <c r="C3" s="41"/>
      <c r="D3" s="41"/>
      <c r="E3" s="41"/>
      <c r="F3" s="41"/>
      <c r="G3" s="41"/>
      <c r="H3" s="41"/>
      <c r="I3" s="41"/>
      <c r="J3" s="41"/>
      <c r="K3" s="41"/>
      <c r="L3" s="41"/>
      <c r="M3" s="41"/>
      <c r="N3" s="41"/>
      <c r="O3" s="41"/>
    </row>
    <row r="4" spans="3:15" x14ac:dyDescent="0.35">
      <c r="C4" s="41"/>
      <c r="D4" s="41"/>
      <c r="E4" s="41"/>
      <c r="F4" s="41"/>
      <c r="G4" s="41"/>
      <c r="H4" s="41"/>
      <c r="I4" s="41"/>
      <c r="J4" s="41"/>
      <c r="K4" s="41"/>
      <c r="L4" s="41"/>
      <c r="M4" s="41"/>
      <c r="N4" s="41"/>
      <c r="O4" s="41"/>
    </row>
    <row r="6" spans="3:15" x14ac:dyDescent="0.35">
      <c r="O6" s="1"/>
    </row>
    <row r="11" spans="3:15" ht="16" x14ac:dyDescent="0.4">
      <c r="E11" s="27" t="s">
        <v>8</v>
      </c>
      <c r="F11" s="27"/>
      <c r="G11" s="27"/>
      <c r="J11" s="19" t="s">
        <v>12</v>
      </c>
      <c r="K11" s="19"/>
      <c r="L11" s="19"/>
    </row>
    <row r="12" spans="3:15" x14ac:dyDescent="0.35">
      <c r="E12" s="18" t="s">
        <v>4</v>
      </c>
      <c r="F12" t="s">
        <v>5</v>
      </c>
      <c r="J12" s="18" t="s">
        <v>13</v>
      </c>
      <c r="K12" t="s">
        <v>5</v>
      </c>
    </row>
    <row r="13" spans="3:15" x14ac:dyDescent="0.35">
      <c r="E13" s="6" t="s">
        <v>0</v>
      </c>
      <c r="F13" s="11">
        <v>69.741372141372139</v>
      </c>
      <c r="J13" s="2" t="s">
        <v>9</v>
      </c>
      <c r="K13" s="14">
        <v>46.973376623376623</v>
      </c>
    </row>
    <row r="14" spans="3:15" x14ac:dyDescent="0.35">
      <c r="E14" s="6" t="s">
        <v>1</v>
      </c>
      <c r="F14" s="12">
        <v>69.368343815513626</v>
      </c>
      <c r="J14" s="2" t="s">
        <v>17</v>
      </c>
      <c r="K14" s="23">
        <v>74.366622864651774</v>
      </c>
    </row>
    <row r="15" spans="3:15" x14ac:dyDescent="0.35">
      <c r="E15" s="6" t="s">
        <v>2</v>
      </c>
      <c r="F15" s="13">
        <v>70.647619047619045</v>
      </c>
      <c r="J15" s="2" t="s">
        <v>10</v>
      </c>
      <c r="K15" s="16">
        <v>67.391566265060234</v>
      </c>
    </row>
    <row r="16" spans="3:15" x14ac:dyDescent="0.35">
      <c r="E16" s="2" t="s">
        <v>3</v>
      </c>
      <c r="F16" s="23">
        <v>69.601500000000001</v>
      </c>
      <c r="J16" s="2" t="s">
        <v>11</v>
      </c>
      <c r="K16" s="17">
        <v>90.55</v>
      </c>
    </row>
    <row r="17" spans="5:12" x14ac:dyDescent="0.35">
      <c r="J17" s="2" t="s">
        <v>3</v>
      </c>
      <c r="K17" s="23">
        <v>69.601500000000001</v>
      </c>
    </row>
    <row r="19" spans="5:12" x14ac:dyDescent="0.35">
      <c r="E19" s="19" t="s">
        <v>20</v>
      </c>
      <c r="F19" s="19"/>
      <c r="G19" s="19"/>
      <c r="J19" s="19" t="s">
        <v>27</v>
      </c>
      <c r="K19" s="19"/>
      <c r="L19" s="19"/>
    </row>
    <row r="20" spans="5:12" x14ac:dyDescent="0.35">
      <c r="E20" s="18" t="s">
        <v>19</v>
      </c>
      <c r="F20" t="s">
        <v>5</v>
      </c>
      <c r="J20" s="18" t="s">
        <v>26</v>
      </c>
      <c r="K20" t="s">
        <v>5</v>
      </c>
    </row>
    <row r="21" spans="5:12" x14ac:dyDescent="0.35">
      <c r="E21" s="2" t="s">
        <v>14</v>
      </c>
      <c r="F21" s="23">
        <v>73.944642857142853</v>
      </c>
      <c r="J21" s="2" t="s">
        <v>21</v>
      </c>
      <c r="K21" s="14">
        <v>67.55714285714285</v>
      </c>
    </row>
    <row r="22" spans="5:12" x14ac:dyDescent="0.35">
      <c r="E22" s="2" t="s">
        <v>15</v>
      </c>
      <c r="F22" s="23">
        <v>72.251028806584358</v>
      </c>
      <c r="J22" s="2" t="s">
        <v>22</v>
      </c>
      <c r="K22" s="24">
        <v>68.092857142857142</v>
      </c>
    </row>
    <row r="23" spans="5:12" x14ac:dyDescent="0.35">
      <c r="E23" s="2" t="s">
        <v>16</v>
      </c>
      <c r="F23" s="23">
        <v>70.081904761904767</v>
      </c>
      <c r="J23" s="2" t="s">
        <v>23</v>
      </c>
      <c r="K23" s="15">
        <v>68.246428571428567</v>
      </c>
    </row>
    <row r="24" spans="5:12" x14ac:dyDescent="0.35">
      <c r="E24" s="2" t="s">
        <v>17</v>
      </c>
      <c r="F24" s="23">
        <v>66.087606837606842</v>
      </c>
      <c r="J24" s="2" t="s">
        <v>24</v>
      </c>
      <c r="K24" s="16">
        <v>69.422979797979792</v>
      </c>
    </row>
    <row r="25" spans="5:12" x14ac:dyDescent="0.35">
      <c r="E25" s="2" t="s">
        <v>18</v>
      </c>
      <c r="F25" s="23">
        <v>64.816666666666663</v>
      </c>
      <c r="J25" s="2" t="s">
        <v>25</v>
      </c>
      <c r="K25" s="25">
        <v>71.536363636363632</v>
      </c>
    </row>
    <row r="26" spans="5:12" x14ac:dyDescent="0.35">
      <c r="E26" s="2" t="s">
        <v>3</v>
      </c>
      <c r="F26" s="23">
        <v>69.601500000000001</v>
      </c>
      <c r="J26" s="2" t="s">
        <v>3</v>
      </c>
      <c r="K26" s="23">
        <v>69.601500000000001</v>
      </c>
    </row>
  </sheetData>
  <mergeCells count="1">
    <mergeCell ref="C1:O4"/>
  </mergeCells>
  <pageMargins left="0.7" right="0.7" top="0.75" bottom="0.75" header="0.3" footer="0.3"/>
  <pageSetup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50104-11D1-4122-84FE-89C6232B14B5}">
  <dimension ref="A1:U29"/>
  <sheetViews>
    <sheetView zoomScale="90" zoomScaleNormal="90" workbookViewId="0">
      <selection sqref="A1:M3"/>
    </sheetView>
  </sheetViews>
  <sheetFormatPr defaultColWidth="0" defaultRowHeight="14.5" zeroHeight="1" x14ac:dyDescent="0.35"/>
  <cols>
    <col min="1" max="4" width="8.7265625" style="37" customWidth="1"/>
    <col min="5" max="5" width="10.54296875" style="37" customWidth="1"/>
    <col min="6" max="7" width="8.7265625" style="37" customWidth="1"/>
    <col min="8" max="8" width="12.08984375" style="37" customWidth="1"/>
    <col min="9" max="10" width="8.7265625" style="37" customWidth="1"/>
    <col min="11" max="11" width="12.54296875" style="37" customWidth="1"/>
    <col min="12" max="21" width="8.7265625" style="37" customWidth="1"/>
    <col min="22" max="16384" width="8.7265625" style="28" hidden="1"/>
  </cols>
  <sheetData>
    <row r="1" spans="1:21" ht="14.5" customHeight="1" x14ac:dyDescent="0.35">
      <c r="A1" s="39" t="s">
        <v>29</v>
      </c>
      <c r="B1" s="39"/>
      <c r="C1" s="39"/>
      <c r="D1" s="39"/>
      <c r="E1" s="39"/>
      <c r="F1" s="39"/>
      <c r="G1" s="39"/>
      <c r="H1" s="39"/>
      <c r="I1" s="39"/>
      <c r="J1" s="39"/>
      <c r="K1" s="39"/>
      <c r="L1" s="39"/>
      <c r="M1" s="39"/>
      <c r="N1" s="32"/>
      <c r="O1" s="32"/>
      <c r="P1" s="32"/>
      <c r="Q1" s="32"/>
      <c r="R1" s="32"/>
      <c r="S1" s="32"/>
      <c r="T1" s="32"/>
      <c r="U1" s="32"/>
    </row>
    <row r="2" spans="1:21" ht="14.5" customHeight="1" x14ac:dyDescent="0.35">
      <c r="A2" s="39"/>
      <c r="B2" s="39"/>
      <c r="C2" s="39"/>
      <c r="D2" s="39"/>
      <c r="E2" s="39"/>
      <c r="F2" s="39"/>
      <c r="G2" s="39"/>
      <c r="H2" s="39"/>
      <c r="I2" s="39"/>
      <c r="J2" s="39"/>
      <c r="K2" s="39"/>
      <c r="L2" s="39"/>
      <c r="M2" s="39"/>
      <c r="N2" s="32"/>
      <c r="O2" s="32"/>
      <c r="P2" s="32"/>
      <c r="Q2" s="32"/>
      <c r="R2" s="32"/>
      <c r="S2" s="32"/>
      <c r="T2" s="32"/>
      <c r="U2" s="32"/>
    </row>
    <row r="3" spans="1:21" ht="14.5" customHeight="1" x14ac:dyDescent="0.35">
      <c r="A3" s="39"/>
      <c r="B3" s="39"/>
      <c r="C3" s="39"/>
      <c r="D3" s="39"/>
      <c r="E3" s="39"/>
      <c r="F3" s="39"/>
      <c r="G3" s="39"/>
      <c r="H3" s="39"/>
      <c r="I3" s="39"/>
      <c r="J3" s="39"/>
      <c r="K3" s="39"/>
      <c r="L3" s="39"/>
      <c r="M3" s="39"/>
      <c r="N3" s="32"/>
      <c r="O3" s="32"/>
      <c r="P3" s="32"/>
      <c r="Q3" s="32"/>
      <c r="R3" s="32"/>
      <c r="S3" s="32"/>
      <c r="T3" s="32"/>
      <c r="U3" s="32"/>
    </row>
    <row r="4" spans="1:21" x14ac:dyDescent="0.35">
      <c r="A4" s="29" t="s">
        <v>30</v>
      </c>
      <c r="B4" s="29"/>
      <c r="C4" s="29"/>
      <c r="D4" s="29"/>
      <c r="E4" s="29"/>
      <c r="F4" s="29"/>
      <c r="G4" s="29"/>
      <c r="H4" s="29"/>
      <c r="I4" s="29"/>
      <c r="J4" s="29"/>
      <c r="K4" s="29"/>
      <c r="L4" s="29"/>
      <c r="M4" s="29"/>
      <c r="N4" s="32"/>
      <c r="O4" s="32"/>
      <c r="P4" s="32"/>
      <c r="Q4" s="32"/>
      <c r="R4" s="32"/>
      <c r="S4" s="32"/>
      <c r="T4" s="32"/>
      <c r="U4" s="32"/>
    </row>
    <row r="5" spans="1:21" x14ac:dyDescent="0.35">
      <c r="A5" s="5"/>
      <c r="B5" s="5"/>
      <c r="C5" s="5"/>
      <c r="D5" s="5"/>
      <c r="E5" s="5"/>
      <c r="F5" s="5"/>
      <c r="G5" s="5"/>
      <c r="H5" s="5"/>
      <c r="I5" s="5"/>
      <c r="J5" s="5"/>
      <c r="K5" s="5"/>
      <c r="L5" s="5"/>
      <c r="M5" s="5"/>
      <c r="N5" s="32"/>
      <c r="O5" s="32"/>
      <c r="P5" s="32"/>
      <c r="Q5" s="32"/>
      <c r="R5" s="32"/>
      <c r="S5" s="32"/>
      <c r="T5" s="32"/>
      <c r="U5" s="32"/>
    </row>
    <row r="6" spans="1:21" ht="18.5" x14ac:dyDescent="0.45">
      <c r="A6" s="31" t="s">
        <v>31</v>
      </c>
      <c r="B6" s="31"/>
      <c r="C6" s="36"/>
      <c r="D6" s="33" t="s">
        <v>5</v>
      </c>
      <c r="E6" s="33"/>
      <c r="F6" s="5"/>
      <c r="G6" s="33" t="s">
        <v>32</v>
      </c>
      <c r="H6" s="33"/>
      <c r="I6" s="5"/>
      <c r="J6" s="33" t="s">
        <v>33</v>
      </c>
      <c r="K6" s="33"/>
      <c r="L6" s="5"/>
      <c r="M6" s="5"/>
      <c r="N6" s="32"/>
      <c r="O6" s="32"/>
      <c r="P6" s="32"/>
      <c r="Q6" s="32"/>
      <c r="R6" s="32"/>
      <c r="S6" s="32"/>
      <c r="T6" s="32"/>
      <c r="U6" s="32"/>
    </row>
    <row r="7" spans="1:21" x14ac:dyDescent="0.35">
      <c r="A7" s="38">
        <f>GETPIVOTDATA("[Measures].[Total Students]",Summarize!$J$6)</f>
        <v>1000</v>
      </c>
      <c r="B7" s="38"/>
      <c r="C7" s="36"/>
      <c r="D7" s="34">
        <f>GETPIVOTDATA("[Measures].[Avg Exam Score]",Summarize!$J$9)</f>
        <v>69.601500000000001</v>
      </c>
      <c r="E7" s="34"/>
      <c r="F7" s="5"/>
      <c r="G7" s="34">
        <f>GETPIVOTDATA("[Measures].[Avg Study Hrs/Day]",Summarize!$J$12)</f>
        <v>3.5501</v>
      </c>
      <c r="H7" s="34"/>
      <c r="I7" s="5"/>
      <c r="J7" s="34">
        <f>GETPIVOTDATA("[Measures].[Avg Attendance Rate]",Summarize!$J$15)</f>
        <v>84.131699999999995</v>
      </c>
      <c r="K7" s="34"/>
      <c r="L7" s="5"/>
      <c r="M7" s="5"/>
      <c r="N7" s="32"/>
      <c r="O7" s="32"/>
      <c r="P7" s="32"/>
      <c r="Q7" s="32"/>
      <c r="R7" s="32"/>
      <c r="S7" s="32"/>
      <c r="T7" s="32"/>
      <c r="U7" s="32"/>
    </row>
    <row r="8" spans="1:21" x14ac:dyDescent="0.35">
      <c r="A8" s="9"/>
      <c r="B8" s="9"/>
      <c r="C8" s="36"/>
      <c r="D8" s="9"/>
      <c r="E8" s="9"/>
      <c r="F8" s="5"/>
      <c r="G8" s="9"/>
      <c r="H8" s="9"/>
      <c r="I8" s="5"/>
      <c r="J8" s="9"/>
      <c r="K8" s="9"/>
      <c r="L8" s="5"/>
      <c r="M8" s="5"/>
      <c r="N8" s="32"/>
      <c r="O8" s="32"/>
      <c r="P8" s="32"/>
      <c r="Q8" s="32"/>
      <c r="R8" s="32"/>
      <c r="S8" s="32"/>
      <c r="T8" s="32"/>
      <c r="U8" s="32"/>
    </row>
    <row r="9" spans="1:21" x14ac:dyDescent="0.35">
      <c r="A9" s="5"/>
      <c r="B9" s="5"/>
      <c r="C9" s="5"/>
      <c r="D9" s="5"/>
      <c r="E9" s="5"/>
      <c r="F9" s="5"/>
      <c r="G9" s="5"/>
      <c r="H9" s="5"/>
      <c r="I9" s="5"/>
      <c r="J9" s="5"/>
      <c r="K9" s="5"/>
      <c r="L9" s="5"/>
      <c r="M9" s="5"/>
      <c r="N9" s="32"/>
      <c r="O9" s="32"/>
      <c r="P9" s="32"/>
      <c r="Q9" s="32"/>
      <c r="R9" s="32"/>
      <c r="S9" s="32"/>
      <c r="T9" s="32"/>
      <c r="U9" s="32"/>
    </row>
    <row r="10" spans="1:21" x14ac:dyDescent="0.35">
      <c r="A10" s="35" t="s">
        <v>34</v>
      </c>
      <c r="B10" s="35"/>
      <c r="C10" s="35"/>
      <c r="D10" s="35"/>
      <c r="E10" s="35"/>
      <c r="F10" s="35"/>
      <c r="G10" s="35"/>
      <c r="H10" s="35"/>
      <c r="I10" s="35"/>
      <c r="J10" s="35"/>
      <c r="K10" s="35"/>
      <c r="L10" s="35"/>
      <c r="M10" s="35"/>
      <c r="N10" s="5"/>
      <c r="O10" s="5"/>
      <c r="P10" s="5"/>
      <c r="Q10" s="5"/>
      <c r="R10" s="5"/>
      <c r="S10" s="5"/>
      <c r="T10" s="5"/>
      <c r="U10" s="5"/>
    </row>
    <row r="11" spans="1:21" x14ac:dyDescent="0.35">
      <c r="A11" s="5"/>
      <c r="B11" s="5"/>
      <c r="C11" s="5"/>
      <c r="D11" s="5"/>
      <c r="E11" s="5"/>
      <c r="F11" s="5"/>
      <c r="G11" s="5"/>
      <c r="H11" s="5"/>
      <c r="I11" s="5"/>
      <c r="J11" s="5"/>
      <c r="K11" s="5"/>
      <c r="L11" s="5"/>
      <c r="M11" s="5"/>
      <c r="N11" s="32"/>
      <c r="O11" s="32"/>
      <c r="P11" s="32"/>
      <c r="Q11" s="32"/>
      <c r="R11" s="32"/>
      <c r="S11" s="32"/>
      <c r="T11" s="32"/>
      <c r="U11" s="32"/>
    </row>
    <row r="12" spans="1:21" x14ac:dyDescent="0.35">
      <c r="A12" s="32"/>
      <c r="B12" s="32"/>
      <c r="C12" s="32"/>
      <c r="D12" s="32"/>
      <c r="E12" s="32"/>
      <c r="F12" s="32"/>
      <c r="G12" s="32"/>
      <c r="H12" s="32"/>
      <c r="I12" s="32"/>
      <c r="J12" s="32"/>
      <c r="K12" s="32"/>
      <c r="L12" s="32"/>
      <c r="M12" s="32"/>
      <c r="N12" s="32"/>
      <c r="O12" s="32"/>
      <c r="P12" s="32"/>
      <c r="Q12" s="32"/>
      <c r="R12" s="32"/>
      <c r="S12" s="32"/>
      <c r="T12" s="32"/>
      <c r="U12" s="32"/>
    </row>
    <row r="13" spans="1:21" x14ac:dyDescent="0.35">
      <c r="A13" s="32"/>
      <c r="B13" s="32"/>
      <c r="C13" s="32"/>
      <c r="D13" s="32"/>
      <c r="E13" s="32"/>
      <c r="F13" s="32"/>
      <c r="G13" s="32"/>
      <c r="H13" s="32"/>
      <c r="I13" s="32"/>
      <c r="J13" s="32"/>
      <c r="K13" s="32"/>
      <c r="L13" s="32"/>
      <c r="M13" s="32"/>
      <c r="N13" s="32"/>
      <c r="O13" s="32"/>
      <c r="P13" s="32"/>
      <c r="Q13" s="32"/>
      <c r="R13" s="32"/>
      <c r="S13" s="32"/>
      <c r="T13" s="32"/>
      <c r="U13" s="32"/>
    </row>
    <row r="14" spans="1:21" x14ac:dyDescent="0.35">
      <c r="A14" s="32"/>
      <c r="B14" s="32"/>
      <c r="C14" s="32"/>
      <c r="D14" s="32"/>
      <c r="E14" s="32"/>
      <c r="F14" s="32"/>
      <c r="G14" s="32"/>
      <c r="H14" s="32"/>
      <c r="I14" s="32"/>
      <c r="J14" s="32"/>
      <c r="K14" s="32"/>
      <c r="L14" s="32"/>
      <c r="M14" s="32"/>
      <c r="N14" s="28"/>
      <c r="O14" s="32"/>
      <c r="P14" s="32"/>
      <c r="Q14" s="32"/>
      <c r="R14" s="32"/>
      <c r="S14" s="32"/>
      <c r="T14" s="32"/>
      <c r="U14" s="32"/>
    </row>
    <row r="15" spans="1:21" x14ac:dyDescent="0.35">
      <c r="A15" s="32"/>
      <c r="B15" s="32"/>
      <c r="C15" s="32"/>
      <c r="D15" s="32"/>
      <c r="E15" s="32"/>
      <c r="F15" s="32"/>
      <c r="G15" s="32"/>
      <c r="H15" s="32"/>
      <c r="I15" s="32"/>
      <c r="J15" s="32"/>
      <c r="K15" s="32"/>
      <c r="L15" s="32"/>
      <c r="M15" s="32"/>
      <c r="N15" s="32"/>
      <c r="O15" s="32"/>
      <c r="P15" s="32"/>
      <c r="Q15" s="32"/>
      <c r="R15" s="32"/>
      <c r="S15" s="32"/>
      <c r="T15" s="32"/>
      <c r="U15" s="32"/>
    </row>
    <row r="16" spans="1:21" x14ac:dyDescent="0.35">
      <c r="A16" s="32"/>
      <c r="B16" s="32"/>
      <c r="C16" s="32"/>
      <c r="D16" s="32"/>
      <c r="E16" s="32"/>
      <c r="F16" s="32"/>
      <c r="G16" s="32"/>
      <c r="H16" s="32"/>
      <c r="I16" s="32"/>
      <c r="J16" s="32"/>
      <c r="K16" s="32"/>
      <c r="L16" s="32"/>
      <c r="M16" s="32"/>
      <c r="N16" s="32"/>
      <c r="O16" s="32"/>
      <c r="P16" s="32"/>
      <c r="Q16" s="32"/>
      <c r="R16" s="32"/>
      <c r="S16" s="32"/>
      <c r="T16" s="32"/>
      <c r="U16" s="32"/>
    </row>
    <row r="17" spans="1:21" x14ac:dyDescent="0.35">
      <c r="A17" s="32"/>
      <c r="B17" s="32"/>
      <c r="C17" s="32"/>
      <c r="D17" s="32"/>
      <c r="E17" s="32"/>
      <c r="F17" s="32"/>
      <c r="G17" s="32"/>
      <c r="H17" s="32"/>
      <c r="I17" s="32"/>
      <c r="J17" s="32"/>
      <c r="K17" s="32"/>
      <c r="L17" s="32"/>
      <c r="M17" s="32"/>
      <c r="N17" s="32"/>
      <c r="O17" s="32"/>
      <c r="P17" s="32"/>
      <c r="Q17" s="32"/>
      <c r="R17" s="32"/>
      <c r="S17" s="32"/>
      <c r="T17" s="32"/>
      <c r="U17" s="32"/>
    </row>
    <row r="18" spans="1:21" x14ac:dyDescent="0.35">
      <c r="A18" s="32"/>
      <c r="B18" s="32"/>
      <c r="C18" s="32"/>
      <c r="D18" s="32"/>
      <c r="E18" s="32"/>
      <c r="F18" s="32"/>
      <c r="G18" s="32"/>
      <c r="H18" s="32"/>
      <c r="I18" s="32"/>
      <c r="J18" s="32"/>
      <c r="K18" s="32"/>
      <c r="L18" s="32"/>
      <c r="M18" s="32"/>
      <c r="N18" s="32"/>
      <c r="O18" s="32"/>
      <c r="P18" s="32"/>
      <c r="Q18" s="32"/>
      <c r="R18" s="32"/>
      <c r="S18" s="32"/>
      <c r="T18" s="32"/>
      <c r="U18" s="32"/>
    </row>
    <row r="19" spans="1:21" x14ac:dyDescent="0.35">
      <c r="A19" s="32"/>
      <c r="B19" s="32"/>
      <c r="C19" s="32"/>
      <c r="D19" s="32"/>
      <c r="E19" s="32"/>
      <c r="F19" s="32"/>
      <c r="G19" s="32"/>
      <c r="H19" s="32"/>
      <c r="I19" s="32"/>
      <c r="J19" s="32"/>
      <c r="K19" s="32"/>
      <c r="L19" s="32"/>
      <c r="M19" s="32"/>
      <c r="N19" s="32"/>
      <c r="O19" s="32"/>
      <c r="P19" s="32"/>
      <c r="Q19" s="32"/>
      <c r="R19" s="32"/>
      <c r="S19" s="32"/>
      <c r="T19" s="32"/>
      <c r="U19" s="32"/>
    </row>
    <row r="20" spans="1:21" x14ac:dyDescent="0.35">
      <c r="A20" s="32"/>
      <c r="B20" s="32"/>
      <c r="C20" s="32"/>
      <c r="D20" s="32"/>
      <c r="E20" s="32"/>
      <c r="F20" s="32"/>
      <c r="G20" s="32"/>
      <c r="H20" s="32"/>
      <c r="I20" s="32"/>
      <c r="J20" s="32"/>
      <c r="K20" s="32"/>
      <c r="L20" s="32"/>
      <c r="M20" s="32"/>
      <c r="N20" s="32"/>
      <c r="O20" s="32"/>
      <c r="P20" s="32"/>
      <c r="Q20" s="32"/>
      <c r="R20" s="32"/>
      <c r="S20" s="32"/>
      <c r="T20" s="32"/>
      <c r="U20" s="32"/>
    </row>
    <row r="21" spans="1:21" ht="23.5" customHeight="1" x14ac:dyDescent="0.35">
      <c r="A21" s="32"/>
      <c r="B21" s="32"/>
      <c r="C21" s="32"/>
      <c r="D21" s="32"/>
      <c r="E21" s="32"/>
      <c r="F21" s="32"/>
      <c r="G21" s="28"/>
      <c r="H21" s="28"/>
      <c r="I21" s="28"/>
      <c r="J21" s="28"/>
      <c r="K21" s="28"/>
      <c r="L21" s="28"/>
      <c r="M21" s="28"/>
      <c r="N21" s="32"/>
      <c r="O21" s="32"/>
      <c r="P21" s="32"/>
      <c r="Q21" s="32"/>
      <c r="R21" s="32"/>
      <c r="S21" s="32"/>
      <c r="T21" s="32"/>
      <c r="U21" s="32"/>
    </row>
    <row r="22" spans="1:21" x14ac:dyDescent="0.35"/>
    <row r="23" spans="1:21" x14ac:dyDescent="0.35"/>
    <row r="24" spans="1:21" x14ac:dyDescent="0.35"/>
    <row r="25" spans="1:21" x14ac:dyDescent="0.35"/>
    <row r="26" spans="1:21" x14ac:dyDescent="0.35"/>
    <row r="27" spans="1:21" x14ac:dyDescent="0.35"/>
    <row r="28" spans="1:21" x14ac:dyDescent="0.35"/>
    <row r="29" spans="1:21" x14ac:dyDescent="0.35"/>
  </sheetData>
  <mergeCells count="22">
    <mergeCell ref="A11:M11"/>
    <mergeCell ref="N10:U10"/>
    <mergeCell ref="A7:B7"/>
    <mergeCell ref="A9:M9"/>
    <mergeCell ref="A10:M10"/>
    <mergeCell ref="C6:C8"/>
    <mergeCell ref="F6:F8"/>
    <mergeCell ref="I6:I8"/>
    <mergeCell ref="L6:M8"/>
    <mergeCell ref="D6:E6"/>
    <mergeCell ref="G6:H6"/>
    <mergeCell ref="J6:K6"/>
    <mergeCell ref="D7:E7"/>
    <mergeCell ref="G7:H7"/>
    <mergeCell ref="J7:K7"/>
    <mergeCell ref="A1:M3"/>
    <mergeCell ref="A4:M4"/>
    <mergeCell ref="A8:B8"/>
    <mergeCell ref="A5:M5"/>
    <mergeCell ref="D8:E8"/>
    <mergeCell ref="G8:H8"/>
    <mergeCell ref="J8:K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CA92476-13F8-418B-ABE2-5CD1D66C5C9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Summarize</vt:lpstr>
      <vt:lpstr>Visualization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promocode2025@gmail.com</dc:creator>
  <cp:lastModifiedBy>promocode2025@gmail.com</cp:lastModifiedBy>
  <dcterms:created xsi:type="dcterms:W3CDTF">2026-05-24T07:36:02Z</dcterms:created>
  <dcterms:modified xsi:type="dcterms:W3CDTF">2026-05-24T14:51:47Z</dcterms:modified>
</cp:coreProperties>
</file>